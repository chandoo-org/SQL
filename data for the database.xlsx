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Chandoo.org\SQL\MS Access\"/>
    </mc:Choice>
  </mc:AlternateContent>
  <xr:revisionPtr revIDLastSave="0" documentId="13_ncr:1_{2F6CC984-6AA7-41AF-9D62-E57C2404D0D2}" xr6:coauthVersionLast="47" xr6:coauthVersionMax="47" xr10:uidLastSave="{00000000-0000-0000-0000-000000000000}"/>
  <bookViews>
    <workbookView xWindow="-108" yWindow="-108" windowWidth="30936" windowHeight="16776" xr2:uid="{08097ED9-E2BB-4B5D-8EF7-CCBA651DE9FD}"/>
  </bookViews>
  <sheets>
    <sheet name="Customers" sheetId="1" r:id="rId1"/>
    <sheet name="Products" sheetId="2" r:id="rId2"/>
    <sheet name="Orders" sheetId="3" r:id="rId3"/>
  </sheets>
  <definedNames>
    <definedName name="_xlnm._FilterDatabase" localSheetId="0" hidden="1">Customers!$I$3:$Q$44</definedName>
    <definedName name="_xlnm._FilterDatabase" localSheetId="2" hidden="1">Orders!$K$2:$P$52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 a="1"/>
  <c r="C3" i="3" s="1"/>
  <c r="B3" i="3" a="1"/>
  <c r="B3" i="3" s="1"/>
  <c r="D3" i="3" a="1"/>
  <c r="D3" i="3" s="1"/>
  <c r="G3" i="3" a="1"/>
  <c r="G3" i="3" s="1"/>
  <c r="E3" i="3" a="1"/>
  <c r="E3" i="3" s="1"/>
  <c r="F3" i="3" l="1" a="1"/>
  <c r="F3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<sst xmlns="http://schemas.openxmlformats.org/spreadsheetml/2006/main" count="520" uniqueCount="235">
  <si>
    <t>Name</t>
  </si>
  <si>
    <t>Barank Obama</t>
  </si>
  <si>
    <t>Large Bush</t>
  </si>
  <si>
    <t>Fill Clinton</t>
  </si>
  <si>
    <t>Donald Roundup</t>
  </si>
  <si>
    <t>Now Biden</t>
  </si>
  <si>
    <t>ROWland Reagan</t>
  </si>
  <si>
    <t>Jimmy Charter</t>
  </si>
  <si>
    <t>Gerald Find</t>
  </si>
  <si>
    <t>Richard Function</t>
  </si>
  <si>
    <t>Abraham LinColumn</t>
  </si>
  <si>
    <t>Harry S TRUEman</t>
  </si>
  <si>
    <t>John IF Kennedy</t>
  </si>
  <si>
    <t>Wood ROW Wilson</t>
  </si>
  <si>
    <t>Franklin D Choosevelt</t>
  </si>
  <si>
    <t>Ulysses S. GrandTotal</t>
  </si>
  <si>
    <t>Dwight D. EisenLower</t>
  </si>
  <si>
    <t>Exact Hoover</t>
  </si>
  <si>
    <t>Amitabh FUNCTION</t>
  </si>
  <si>
    <t>Shahrukh SCAN</t>
  </si>
  <si>
    <t>Aishwarya ROW</t>
  </si>
  <si>
    <t>Rajini COTH</t>
  </si>
  <si>
    <t>Mammo T</t>
  </si>
  <si>
    <t>Pra BASE</t>
  </si>
  <si>
    <t>ROMAN Irani</t>
  </si>
  <si>
    <t>SUM Antha</t>
  </si>
  <si>
    <t>Alia BAHTTEXT</t>
  </si>
  <si>
    <t>Kaj ALL</t>
  </si>
  <si>
    <t>VALUE Arjun</t>
  </si>
  <si>
    <t>ShaHIDE Kapoor</t>
  </si>
  <si>
    <t>Paresh ROWLEVEL</t>
  </si>
  <si>
    <t>Mani RatNAME</t>
  </si>
  <si>
    <t>ViRIGHT Kohli</t>
  </si>
  <si>
    <t>SachIF Tendulkar</t>
  </si>
  <si>
    <t>Kapil DAY</t>
  </si>
  <si>
    <t>VishwanaTAN AnAND</t>
  </si>
  <si>
    <t>DB Variation</t>
  </si>
  <si>
    <t>Donald TRIMp</t>
  </si>
  <si>
    <t>George WHEREington</t>
  </si>
  <si>
    <t>Abraham Linkon</t>
  </si>
  <si>
    <t>Joe BYEden</t>
  </si>
  <si>
    <t>Barack UNIONa</t>
  </si>
  <si>
    <t>Bill Clienton</t>
  </si>
  <si>
    <t>John ADDams</t>
  </si>
  <si>
    <t>Thomas JOINerson</t>
  </si>
  <si>
    <t>Andrew JSON</t>
  </si>
  <si>
    <t>Richard NULLxon</t>
  </si>
  <si>
    <t>Franklin ROWsevelt</t>
  </si>
  <si>
    <t>Harry TRUNCman</t>
  </si>
  <si>
    <t>Jimmy CHARter</t>
  </si>
  <si>
    <t>George BATCH</t>
  </si>
  <si>
    <t>Lyndon BLOBson</t>
  </si>
  <si>
    <t>Dwight ISNULLhower</t>
  </si>
  <si>
    <t>Ronald REINDEX</t>
  </si>
  <si>
    <t>James METAson</t>
  </si>
  <si>
    <t>John FKennedy</t>
  </si>
  <si>
    <t>RajiniCAST</t>
  </si>
  <si>
    <t>Amitabh Batchchan</t>
  </si>
  <si>
    <t>A. R. ROLLman</t>
  </si>
  <si>
    <t>Shah ROWk Khan</t>
  </si>
  <si>
    <t>Salman COMMIT</t>
  </si>
  <si>
    <t>Kamal HASHan</t>
  </si>
  <si>
    <t>Hrithik JOINshan</t>
  </si>
  <si>
    <t>Deepika PrimaryKey</t>
  </si>
  <si>
    <t>Akshay INSERTmar</t>
  </si>
  <si>
    <t>Alia Blob</t>
  </si>
  <si>
    <t>NagaJSONa</t>
  </si>
  <si>
    <t>MohanLOCK</t>
  </si>
  <si>
    <t>PraBULKhas</t>
  </si>
  <si>
    <t>Anushka ARRAYtty</t>
  </si>
  <si>
    <t>Ranbir RENAMEoor</t>
  </si>
  <si>
    <t>DhanULL</t>
  </si>
  <si>
    <t>SurVARCHAR</t>
  </si>
  <si>
    <t>Kareena Keypoor</t>
  </si>
  <si>
    <t>MamViewtty</t>
  </si>
  <si>
    <t>Vijay TRUNCakonda</t>
  </si>
  <si>
    <t>Customer Name</t>
  </si>
  <si>
    <t>CustomerName</t>
  </si>
  <si>
    <t>Age</t>
  </si>
  <si>
    <t>Gender</t>
  </si>
  <si>
    <t>Country</t>
  </si>
  <si>
    <t>State</t>
  </si>
  <si>
    <t>Email</t>
  </si>
  <si>
    <t>LoyaltyProgram</t>
  </si>
  <si>
    <t>ShippingAddress</t>
  </si>
  <si>
    <t>Male</t>
  </si>
  <si>
    <t>India</t>
  </si>
  <si>
    <t>Delhi</t>
  </si>
  <si>
    <t>donald_trimp@mailinator.com</t>
  </si>
  <si>
    <t>Basic</t>
  </si>
  <si>
    <t>8955 Maldonado Creek Apt. 971, West Jennifer, UT 17270</t>
  </si>
  <si>
    <t>Karnataka</t>
  </si>
  <si>
    <t>gerald_find@testmail.com</t>
  </si>
  <si>
    <t>Silver</t>
  </si>
  <si>
    <t>5573 Romero Road, Katrinaport, HI 55995</t>
  </si>
  <si>
    <t>USA</t>
  </si>
  <si>
    <t>MA</t>
  </si>
  <si>
    <t>george_whereington@mailinator.com</t>
  </si>
  <si>
    <t>38672 Martinez Hill Apt. 948, Robertland, MA 50289</t>
  </si>
  <si>
    <t>Tamil Nadu</t>
  </si>
  <si>
    <t>abraham_linkon@testmail.com</t>
  </si>
  <si>
    <t>Platinum</t>
  </si>
  <si>
    <t>2665 Foster Fork Apt. 788, South Samuelshire, DE 68297</t>
  </si>
  <si>
    <t>Female</t>
  </si>
  <si>
    <t>joe_byeden@mailinator.com</t>
  </si>
  <si>
    <t>None</t>
  </si>
  <si>
    <t>PSC 8006, Box 4013, APO AA 02367</t>
  </si>
  <si>
    <t>barack_uniona@testmail.com</t>
  </si>
  <si>
    <t>Gold</t>
  </si>
  <si>
    <t>5937 West Cliffs, Lake Zacharytown, KS 54346</t>
  </si>
  <si>
    <t>Telangana</t>
  </si>
  <si>
    <t>bill_clienton@testmail.com</t>
  </si>
  <si>
    <t>0884 Norris Course, Serranoberg, MN 88945</t>
  </si>
  <si>
    <t>RI</t>
  </si>
  <si>
    <t>john_addams@example.com</t>
  </si>
  <si>
    <t>84462 Contreras Highway Suite 096, New Savannahmouth, RI 71411</t>
  </si>
  <si>
    <t>CO</t>
  </si>
  <si>
    <t>thomas_joinerson@mailinator.com</t>
  </si>
  <si>
    <t>258 Pamela Mills Suite 774, New Jacqueline, CO 55301</t>
  </si>
  <si>
    <t>andrew_json@testmail.com</t>
  </si>
  <si>
    <t>47026 Owens Causeway, Lake Tanya, IN 52118</t>
  </si>
  <si>
    <t>OH</t>
  </si>
  <si>
    <t>richard_nullxon@example.com</t>
  </si>
  <si>
    <t>94514 Paul Crescent, East Markmouth, OH 27341</t>
  </si>
  <si>
    <t>NJ</t>
  </si>
  <si>
    <t>franklin_rowsevelt@example.com</t>
  </si>
  <si>
    <t>225 Wanda Junction, Ericmouth, NJ 30079</t>
  </si>
  <si>
    <t>Maharashtra</t>
  </si>
  <si>
    <t>harry_truncman@example.com</t>
  </si>
  <si>
    <t>5415 Parker Springs Suite 342, Lake Matthew, ME 45392</t>
  </si>
  <si>
    <t>jimmy_charter@testmail.com</t>
  </si>
  <si>
    <t>USCGC Gutierrez, FPO AP 34768</t>
  </si>
  <si>
    <t>MI</t>
  </si>
  <si>
    <t>george_batch@testmail.com</t>
  </si>
  <si>
    <t>7018 Justin Via, East Erinmouth, MI 19965</t>
  </si>
  <si>
    <t>lyndon_blobson@mailinator.com</t>
  </si>
  <si>
    <t>654 Carney Greens, Jessicatown, NH 17898</t>
  </si>
  <si>
    <t>MN</t>
  </si>
  <si>
    <t>dwight_isnullhower@example.com</t>
  </si>
  <si>
    <t>707 Miller Via Suite 686, Grahammouth, MN 33633</t>
  </si>
  <si>
    <t>CA</t>
  </si>
  <si>
    <t>ronald_reindex@mailinator.com</t>
  </si>
  <si>
    <t>9546 Ross Ranch, Mirandaside, CA 50924</t>
  </si>
  <si>
    <t>NV</t>
  </si>
  <si>
    <t>james_metason@example.com</t>
  </si>
  <si>
    <t>438 Kenneth Plains Suite 505, Davisport, NV 11515</t>
  </si>
  <si>
    <t>AL</t>
  </si>
  <si>
    <t>john_fkennedy@example.com</t>
  </si>
  <si>
    <t>4650 Erica Locks Suite 878, Courtneyshire, AL 03757</t>
  </si>
  <si>
    <t>rajinicast@testmail.com</t>
  </si>
  <si>
    <t>PSC 9953, Box 1328, APO AE 72408</t>
  </si>
  <si>
    <t>NC</t>
  </si>
  <si>
    <t>amitabh_batchchan@mailinator.com</t>
  </si>
  <si>
    <t>655 Tyler Squares, Johnsonbury, NC 70343</t>
  </si>
  <si>
    <t>a._r._rollman@example.com</t>
  </si>
  <si>
    <t>0880 Davis Villages Suite 028, Angelatown, OH 26472</t>
  </si>
  <si>
    <t>shah_rowk_khan@example.com</t>
  </si>
  <si>
    <t>16463 Booker Plains, Port Saraland, CA 03433</t>
  </si>
  <si>
    <t>salman_commit@mailinator.com</t>
  </si>
  <si>
    <t>Unit 5435 Box 6875, DPO AA 89517</t>
  </si>
  <si>
    <t>kamal_hashan@example.com</t>
  </si>
  <si>
    <t>USS Peterson, FPO AP 74981</t>
  </si>
  <si>
    <t>hrithik_joinshan@example.com</t>
  </si>
  <si>
    <t>581 Salas Bypass, South Ashley, ID 56027</t>
  </si>
  <si>
    <t>deepika_primarykey@mailinator.com</t>
  </si>
  <si>
    <t>59627 Chavez Route Apt. 525, Port Tracyhaven, NC 89921</t>
  </si>
  <si>
    <t>akshay_insertmar@example.com</t>
  </si>
  <si>
    <t>318 Mills Forge Suite 743, Port Michael, MI 42084</t>
  </si>
  <si>
    <t>alia_blob@mailinator.com</t>
  </si>
  <si>
    <t>569 Kyle Vista Suite 237, North John, NY 61699</t>
  </si>
  <si>
    <t>nagajsona@testmail.com</t>
  </si>
  <si>
    <t>611 Tina Common Suite 169, New Jessebury, NE 70429</t>
  </si>
  <si>
    <t>mohanlock@mailinator.com</t>
  </si>
  <si>
    <t>92755 Andrews Plaza, South Amberton, OH 26187</t>
  </si>
  <si>
    <t>prabulkhas@testmail.com</t>
  </si>
  <si>
    <t>364 Megan Stream, Webermouth, NC 59315</t>
  </si>
  <si>
    <t>anushka_arraytty@mailinator.com</t>
  </si>
  <si>
    <t>88964 Smith Mountain Apt. 459, North Danielle, PA 04683</t>
  </si>
  <si>
    <t>ranbir_renameoor@example.com</t>
  </si>
  <si>
    <t>5417 Baker Groves Apt. 068, Lopezberg, HI 21854</t>
  </si>
  <si>
    <t>OR</t>
  </si>
  <si>
    <t>dhanull@testmail.com</t>
  </si>
  <si>
    <t>10456 Johnson Mount, South Mistyville, OR 41305</t>
  </si>
  <si>
    <t>ID</t>
  </si>
  <si>
    <t>survarchar@mailinator.com</t>
  </si>
  <si>
    <t>6721 Michelle Via Apt. 683, Jamesport, ID 44872</t>
  </si>
  <si>
    <t>kareena_keypoor@testmail.com</t>
  </si>
  <si>
    <t>45401 Cynthia Terrace, North Ruth, ID 02031</t>
  </si>
  <si>
    <t>DE</t>
  </si>
  <si>
    <t>mamviewtty@testmail.com</t>
  </si>
  <si>
    <t>537 Gordon Run Suite 544, New Dawnland, DE 53886</t>
  </si>
  <si>
    <t>vijay_truncakonda@mailinator.com</t>
  </si>
  <si>
    <t>8315 Hines Road Apt. 826, Clarkfurt, CO 44924</t>
  </si>
  <si>
    <t>Product</t>
  </si>
  <si>
    <t>Category</t>
  </si>
  <si>
    <t>Milk Bars</t>
  </si>
  <si>
    <t>Bars</t>
  </si>
  <si>
    <t>50% Dark Bites</t>
  </si>
  <si>
    <t>Bites</t>
  </si>
  <si>
    <t>Almond Choco</t>
  </si>
  <si>
    <t>Raspberry Choco</t>
  </si>
  <si>
    <t>Mint Chip Choco</t>
  </si>
  <si>
    <t>Eclairs</t>
  </si>
  <si>
    <t>Drinking Coco</t>
  </si>
  <si>
    <t>Other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</si>
  <si>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</si>
  <si>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</si>
  <si>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</si>
  <si>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</si>
  <si>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</si>
  <si>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</si>
  <si>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</si>
  <si>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</si>
  <si>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</si>
  <si>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</si>
  <si>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</si>
  <si>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</si>
  <si>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Silky Salty</t>
  </si>
  <si>
    <t>Choco Coated Almonds</t>
  </si>
  <si>
    <t>Peanut Butter Cubes</t>
  </si>
  <si>
    <t>Box Wt. (lbs)</t>
  </si>
  <si>
    <t>Stock on hand</t>
  </si>
  <si>
    <t>Cusomter ID</t>
  </si>
  <si>
    <t>Product ID</t>
  </si>
  <si>
    <t>Order Date</t>
  </si>
  <si>
    <t>Order Qty</t>
  </si>
  <si>
    <t>Amount Paid</t>
  </si>
  <si>
    <t>Delivered?</t>
  </si>
  <si>
    <t>YES</t>
  </si>
  <si>
    <t>NO</t>
  </si>
  <si>
    <t>Willy Wonka</t>
  </si>
  <si>
    <t>Ohio</t>
  </si>
  <si>
    <t>willy@wonka.com</t>
  </si>
  <si>
    <t>1 Chocolate Road, Wonkaville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</si>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</sst>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5" fontId="0" fillId="0" borderId="0" xfId="0" applyNumberFormat="1"/>
    <xf numFmtId="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72C1F-A943-4818-ABEE-7AF34D61313C}">
  <dimension ref="B3:Q44"/>
  <sheetViews>
    <sheetView tabSelected="1" topLeftCell="H1" workbookViewId="0">
      <selection activeCell="I3" sqref="I3:Q44"/>
    </sheetView>
  </sheetViews>
  <sheetFormatPr defaultRowHeight="14.4" x14ac:dyDescent="0.3"/>
  <cols>
    <col min="2" max="2" width="19.6640625" bestFit="1" customWidth="1"/>
    <col min="3" max="3" width="24.109375" customWidth="1"/>
    <col min="5" max="5" width="18.44140625" bestFit="1" customWidth="1"/>
    <col min="10" max="10" width="29" customWidth="1"/>
    <col min="15" max="15" width="34" bestFit="1" customWidth="1"/>
  </cols>
  <sheetData>
    <row r="3" spans="2:17" x14ac:dyDescent="0.3">
      <c r="B3" t="s">
        <v>0</v>
      </c>
      <c r="C3" t="s">
        <v>36</v>
      </c>
      <c r="E3" t="s">
        <v>76</v>
      </c>
      <c r="I3" t="s">
        <v>183</v>
      </c>
      <c r="J3" t="s">
        <v>77</v>
      </c>
      <c r="K3" t="s">
        <v>78</v>
      </c>
      <c r="L3" t="s">
        <v>79</v>
      </c>
      <c r="M3" t="s">
        <v>80</v>
      </c>
      <c r="N3" t="s">
        <v>81</v>
      </c>
      <c r="O3" t="s">
        <v>82</v>
      </c>
      <c r="P3" t="s">
        <v>83</v>
      </c>
      <c r="Q3" t="s">
        <v>84</v>
      </c>
    </row>
    <row r="4" spans="2:17" x14ac:dyDescent="0.3">
      <c r="B4" t="s">
        <v>1</v>
      </c>
      <c r="C4" t="s">
        <v>1</v>
      </c>
      <c r="E4" t="s">
        <v>37</v>
      </c>
      <c r="I4">
        <v>1</v>
      </c>
      <c r="J4" t="s">
        <v>230</v>
      </c>
      <c r="K4">
        <v>56</v>
      </c>
      <c r="L4" t="s">
        <v>85</v>
      </c>
      <c r="M4" t="s">
        <v>95</v>
      </c>
      <c r="N4" t="s">
        <v>231</v>
      </c>
      <c r="O4" t="s">
        <v>232</v>
      </c>
      <c r="P4" t="s">
        <v>108</v>
      </c>
      <c r="Q4" t="s">
        <v>233</v>
      </c>
    </row>
    <row r="5" spans="2:17" x14ac:dyDescent="0.3">
      <c r="B5" t="s">
        <v>2</v>
      </c>
      <c r="C5" t="s">
        <v>2</v>
      </c>
      <c r="E5" t="s">
        <v>8</v>
      </c>
      <c r="I5">
        <v>2</v>
      </c>
      <c r="J5" t="s">
        <v>37</v>
      </c>
      <c r="K5">
        <v>70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</row>
    <row r="6" spans="2:17" x14ac:dyDescent="0.3">
      <c r="B6" t="s">
        <v>3</v>
      </c>
      <c r="C6" t="s">
        <v>3</v>
      </c>
      <c r="E6" t="s">
        <v>38</v>
      </c>
      <c r="I6">
        <v>3</v>
      </c>
      <c r="J6" t="s">
        <v>8</v>
      </c>
      <c r="K6">
        <v>60</v>
      </c>
      <c r="L6" t="s">
        <v>85</v>
      </c>
      <c r="M6" t="s">
        <v>86</v>
      </c>
      <c r="N6" t="s">
        <v>91</v>
      </c>
      <c r="O6" t="s">
        <v>92</v>
      </c>
      <c r="P6" t="s">
        <v>93</v>
      </c>
      <c r="Q6" t="s">
        <v>94</v>
      </c>
    </row>
    <row r="7" spans="2:17" x14ac:dyDescent="0.3">
      <c r="B7" t="s">
        <v>4</v>
      </c>
      <c r="C7" t="s">
        <v>4</v>
      </c>
      <c r="E7" t="s">
        <v>39</v>
      </c>
      <c r="I7">
        <v>4</v>
      </c>
      <c r="J7" t="s">
        <v>38</v>
      </c>
      <c r="K7">
        <v>43</v>
      </c>
      <c r="L7" t="s">
        <v>85</v>
      </c>
      <c r="M7" t="s">
        <v>95</v>
      </c>
      <c r="N7" t="s">
        <v>96</v>
      </c>
      <c r="O7" t="s">
        <v>97</v>
      </c>
      <c r="P7" t="s">
        <v>89</v>
      </c>
      <c r="Q7" t="s">
        <v>98</v>
      </c>
    </row>
    <row r="8" spans="2:17" x14ac:dyDescent="0.3">
      <c r="B8" t="s">
        <v>5</v>
      </c>
      <c r="C8" t="s">
        <v>5</v>
      </c>
      <c r="E8" t="s">
        <v>40</v>
      </c>
      <c r="I8">
        <v>5</v>
      </c>
      <c r="J8" t="s">
        <v>39</v>
      </c>
      <c r="K8">
        <v>59</v>
      </c>
      <c r="L8" t="s">
        <v>85</v>
      </c>
      <c r="M8" t="s">
        <v>86</v>
      </c>
      <c r="N8" t="s">
        <v>99</v>
      </c>
      <c r="O8" t="s">
        <v>100</v>
      </c>
      <c r="P8" t="s">
        <v>101</v>
      </c>
      <c r="Q8" t="s">
        <v>102</v>
      </c>
    </row>
    <row r="9" spans="2:17" x14ac:dyDescent="0.3">
      <c r="B9" t="s">
        <v>6</v>
      </c>
      <c r="C9" t="s">
        <v>6</v>
      </c>
      <c r="E9" t="s">
        <v>41</v>
      </c>
      <c r="I9">
        <v>6</v>
      </c>
      <c r="J9" t="s">
        <v>40</v>
      </c>
      <c r="K9">
        <v>66</v>
      </c>
      <c r="L9" t="s">
        <v>103</v>
      </c>
      <c r="M9" t="s">
        <v>86</v>
      </c>
      <c r="N9" t="s">
        <v>99</v>
      </c>
      <c r="O9" t="s">
        <v>104</v>
      </c>
      <c r="P9" t="s">
        <v>105</v>
      </c>
      <c r="Q9" t="s">
        <v>106</v>
      </c>
    </row>
    <row r="10" spans="2:17" x14ac:dyDescent="0.3">
      <c r="B10" t="s">
        <v>7</v>
      </c>
      <c r="C10" t="s">
        <v>7</v>
      </c>
      <c r="E10" t="s">
        <v>42</v>
      </c>
      <c r="I10">
        <v>7</v>
      </c>
      <c r="J10" t="s">
        <v>41</v>
      </c>
      <c r="K10">
        <v>55</v>
      </c>
      <c r="L10" t="s">
        <v>103</v>
      </c>
      <c r="M10" t="s">
        <v>86</v>
      </c>
      <c r="N10" t="s">
        <v>91</v>
      </c>
      <c r="O10" t="s">
        <v>107</v>
      </c>
      <c r="P10" t="s">
        <v>108</v>
      </c>
      <c r="Q10" t="s">
        <v>109</v>
      </c>
    </row>
    <row r="11" spans="2:17" x14ac:dyDescent="0.3">
      <c r="B11" t="s">
        <v>8</v>
      </c>
      <c r="C11" t="s">
        <v>8</v>
      </c>
      <c r="E11" t="s">
        <v>43</v>
      </c>
      <c r="I11">
        <v>8</v>
      </c>
      <c r="J11" t="s">
        <v>42</v>
      </c>
      <c r="K11">
        <v>44</v>
      </c>
      <c r="L11" t="s">
        <v>85</v>
      </c>
      <c r="M11" t="s">
        <v>86</v>
      </c>
      <c r="N11" t="s">
        <v>110</v>
      </c>
      <c r="O11" t="s">
        <v>111</v>
      </c>
      <c r="P11" t="s">
        <v>105</v>
      </c>
      <c r="Q11" t="s">
        <v>112</v>
      </c>
    </row>
    <row r="12" spans="2:17" x14ac:dyDescent="0.3">
      <c r="B12" t="s">
        <v>9</v>
      </c>
      <c r="C12" t="s">
        <v>9</v>
      </c>
      <c r="E12" t="s">
        <v>44</v>
      </c>
      <c r="I12">
        <v>9</v>
      </c>
      <c r="J12" t="s">
        <v>43</v>
      </c>
      <c r="K12">
        <v>23</v>
      </c>
      <c r="L12" t="s">
        <v>85</v>
      </c>
      <c r="M12" t="s">
        <v>95</v>
      </c>
      <c r="N12" t="s">
        <v>113</v>
      </c>
      <c r="O12" t="s">
        <v>114</v>
      </c>
      <c r="P12" t="s">
        <v>93</v>
      </c>
      <c r="Q12" t="s">
        <v>115</v>
      </c>
    </row>
    <row r="13" spans="2:17" x14ac:dyDescent="0.3">
      <c r="B13" t="s">
        <v>10</v>
      </c>
      <c r="C13" t="s">
        <v>10</v>
      </c>
      <c r="E13" t="s">
        <v>45</v>
      </c>
      <c r="I13">
        <v>10</v>
      </c>
      <c r="J13" t="s">
        <v>44</v>
      </c>
      <c r="K13">
        <v>41</v>
      </c>
      <c r="L13" t="s">
        <v>85</v>
      </c>
      <c r="M13" t="s">
        <v>95</v>
      </c>
      <c r="N13" t="s">
        <v>116</v>
      </c>
      <c r="O13" t="s">
        <v>117</v>
      </c>
      <c r="P13" t="s">
        <v>89</v>
      </c>
      <c r="Q13" t="s">
        <v>118</v>
      </c>
    </row>
    <row r="14" spans="2:17" x14ac:dyDescent="0.3">
      <c r="B14" t="s">
        <v>11</v>
      </c>
      <c r="C14" t="s">
        <v>11</v>
      </c>
      <c r="E14" t="s">
        <v>46</v>
      </c>
      <c r="I14">
        <v>11</v>
      </c>
      <c r="J14" t="s">
        <v>45</v>
      </c>
      <c r="K14">
        <v>54</v>
      </c>
      <c r="L14" t="s">
        <v>85</v>
      </c>
      <c r="M14" t="s">
        <v>86</v>
      </c>
      <c r="N14" t="s">
        <v>91</v>
      </c>
      <c r="O14" t="s">
        <v>119</v>
      </c>
      <c r="P14" t="s">
        <v>101</v>
      </c>
      <c r="Q14" t="s">
        <v>120</v>
      </c>
    </row>
    <row r="15" spans="2:17" x14ac:dyDescent="0.3">
      <c r="B15" t="s">
        <v>12</v>
      </c>
      <c r="C15" t="s">
        <v>12</v>
      </c>
      <c r="E15" t="s">
        <v>47</v>
      </c>
      <c r="I15">
        <v>12</v>
      </c>
      <c r="J15" t="s">
        <v>46</v>
      </c>
      <c r="K15">
        <v>47</v>
      </c>
      <c r="L15" t="s">
        <v>103</v>
      </c>
      <c r="M15" t="s">
        <v>95</v>
      </c>
      <c r="N15" t="s">
        <v>121</v>
      </c>
      <c r="O15" t="s">
        <v>122</v>
      </c>
      <c r="P15" t="s">
        <v>105</v>
      </c>
      <c r="Q15" t="s">
        <v>123</v>
      </c>
    </row>
    <row r="16" spans="2:17" x14ac:dyDescent="0.3">
      <c r="B16" t="s">
        <v>13</v>
      </c>
      <c r="C16" t="s">
        <v>13</v>
      </c>
      <c r="E16" t="s">
        <v>48</v>
      </c>
      <c r="I16">
        <v>13</v>
      </c>
      <c r="J16" t="s">
        <v>47</v>
      </c>
      <c r="K16">
        <v>36</v>
      </c>
      <c r="L16" t="s">
        <v>85</v>
      </c>
      <c r="M16" t="s">
        <v>95</v>
      </c>
      <c r="N16" t="s">
        <v>124</v>
      </c>
      <c r="O16" t="s">
        <v>125</v>
      </c>
      <c r="P16" t="s">
        <v>93</v>
      </c>
      <c r="Q16" t="s">
        <v>126</v>
      </c>
    </row>
    <row r="17" spans="2:17" x14ac:dyDescent="0.3">
      <c r="B17" t="s">
        <v>14</v>
      </c>
      <c r="C17" t="s">
        <v>14</v>
      </c>
      <c r="E17" t="s">
        <v>49</v>
      </c>
      <c r="I17">
        <v>14</v>
      </c>
      <c r="J17" t="s">
        <v>48</v>
      </c>
      <c r="K17">
        <v>53</v>
      </c>
      <c r="L17" t="s">
        <v>103</v>
      </c>
      <c r="M17" t="s">
        <v>86</v>
      </c>
      <c r="N17" t="s">
        <v>127</v>
      </c>
      <c r="O17" t="s">
        <v>128</v>
      </c>
      <c r="P17" t="s">
        <v>105</v>
      </c>
      <c r="Q17" t="s">
        <v>129</v>
      </c>
    </row>
    <row r="18" spans="2:17" x14ac:dyDescent="0.3">
      <c r="B18" t="s">
        <v>15</v>
      </c>
      <c r="C18" t="s">
        <v>15</v>
      </c>
      <c r="E18" t="s">
        <v>50</v>
      </c>
      <c r="I18">
        <v>15</v>
      </c>
      <c r="J18" t="s">
        <v>49</v>
      </c>
      <c r="K18">
        <v>48</v>
      </c>
      <c r="L18" t="s">
        <v>103</v>
      </c>
      <c r="M18" t="s">
        <v>86</v>
      </c>
      <c r="N18" t="s">
        <v>110</v>
      </c>
      <c r="O18" t="s">
        <v>130</v>
      </c>
      <c r="P18" t="s">
        <v>101</v>
      </c>
      <c r="Q18" t="s">
        <v>131</v>
      </c>
    </row>
    <row r="19" spans="2:17" x14ac:dyDescent="0.3">
      <c r="B19" t="s">
        <v>16</v>
      </c>
      <c r="C19" t="s">
        <v>16</v>
      </c>
      <c r="E19" t="s">
        <v>51</v>
      </c>
      <c r="I19">
        <v>16</v>
      </c>
      <c r="J19" t="s">
        <v>50</v>
      </c>
      <c r="K19">
        <v>44</v>
      </c>
      <c r="L19" t="s">
        <v>103</v>
      </c>
      <c r="M19" t="s">
        <v>95</v>
      </c>
      <c r="N19" t="s">
        <v>132</v>
      </c>
      <c r="O19" t="s">
        <v>133</v>
      </c>
      <c r="P19" t="s">
        <v>108</v>
      </c>
      <c r="Q19" t="s">
        <v>134</v>
      </c>
    </row>
    <row r="20" spans="2:17" x14ac:dyDescent="0.3">
      <c r="B20" t="s">
        <v>17</v>
      </c>
      <c r="C20" t="s">
        <v>17</v>
      </c>
      <c r="E20" t="s">
        <v>52</v>
      </c>
      <c r="I20">
        <v>17</v>
      </c>
      <c r="J20" t="s">
        <v>51</v>
      </c>
      <c r="K20">
        <v>67</v>
      </c>
      <c r="L20" t="s">
        <v>85</v>
      </c>
      <c r="M20" t="s">
        <v>86</v>
      </c>
      <c r="N20" t="s">
        <v>110</v>
      </c>
      <c r="O20" t="s">
        <v>135</v>
      </c>
      <c r="P20" t="s">
        <v>101</v>
      </c>
      <c r="Q20" t="s">
        <v>136</v>
      </c>
    </row>
    <row r="21" spans="2:17" x14ac:dyDescent="0.3">
      <c r="B21" t="s">
        <v>18</v>
      </c>
      <c r="C21" t="s">
        <v>18</v>
      </c>
      <c r="E21" t="s">
        <v>53</v>
      </c>
      <c r="I21">
        <v>18</v>
      </c>
      <c r="J21" t="s">
        <v>52</v>
      </c>
      <c r="K21">
        <v>63</v>
      </c>
      <c r="L21" t="s">
        <v>234</v>
      </c>
      <c r="M21" t="s">
        <v>95</v>
      </c>
      <c r="N21" t="s">
        <v>137</v>
      </c>
      <c r="O21" t="s">
        <v>138</v>
      </c>
      <c r="P21" t="s">
        <v>101</v>
      </c>
      <c r="Q21" t="s">
        <v>139</v>
      </c>
    </row>
    <row r="22" spans="2:17" x14ac:dyDescent="0.3">
      <c r="B22" t="s">
        <v>19</v>
      </c>
      <c r="C22" t="s">
        <v>19</v>
      </c>
      <c r="E22" t="s">
        <v>54</v>
      </c>
      <c r="I22">
        <v>19</v>
      </c>
      <c r="J22" t="s">
        <v>53</v>
      </c>
      <c r="K22">
        <v>37</v>
      </c>
      <c r="L22" t="s">
        <v>234</v>
      </c>
      <c r="M22" t="s">
        <v>95</v>
      </c>
      <c r="N22" t="s">
        <v>140</v>
      </c>
      <c r="O22" t="s">
        <v>141</v>
      </c>
      <c r="P22" t="s">
        <v>105</v>
      </c>
      <c r="Q22" t="s">
        <v>142</v>
      </c>
    </row>
    <row r="23" spans="2:17" x14ac:dyDescent="0.3">
      <c r="B23" t="s">
        <v>20</v>
      </c>
      <c r="C23" t="s">
        <v>20</v>
      </c>
      <c r="E23" t="s">
        <v>55</v>
      </c>
      <c r="I23">
        <v>20</v>
      </c>
      <c r="J23" t="s">
        <v>54</v>
      </c>
      <c r="K23">
        <v>46</v>
      </c>
      <c r="L23" t="s">
        <v>234</v>
      </c>
      <c r="M23" t="s">
        <v>95</v>
      </c>
      <c r="N23" t="s">
        <v>143</v>
      </c>
      <c r="O23" t="s">
        <v>144</v>
      </c>
      <c r="P23" t="s">
        <v>93</v>
      </c>
      <c r="Q23" t="s">
        <v>145</v>
      </c>
    </row>
    <row r="24" spans="2:17" x14ac:dyDescent="0.3">
      <c r="B24" t="s">
        <v>21</v>
      </c>
      <c r="C24" t="s">
        <v>21</v>
      </c>
      <c r="E24" t="s">
        <v>56</v>
      </c>
      <c r="I24">
        <v>21</v>
      </c>
      <c r="J24" t="s">
        <v>55</v>
      </c>
      <c r="K24">
        <v>67</v>
      </c>
      <c r="L24" t="s">
        <v>85</v>
      </c>
      <c r="M24" t="s">
        <v>95</v>
      </c>
      <c r="N24" t="s">
        <v>146</v>
      </c>
      <c r="O24" t="s">
        <v>147</v>
      </c>
      <c r="P24" t="s">
        <v>105</v>
      </c>
      <c r="Q24" t="s">
        <v>148</v>
      </c>
    </row>
    <row r="25" spans="2:17" x14ac:dyDescent="0.3">
      <c r="B25" t="s">
        <v>22</v>
      </c>
      <c r="C25" t="s">
        <v>22</v>
      </c>
      <c r="E25" t="s">
        <v>57</v>
      </c>
      <c r="I25">
        <v>22</v>
      </c>
      <c r="J25" t="s">
        <v>56</v>
      </c>
      <c r="K25">
        <v>42</v>
      </c>
      <c r="L25" t="s">
        <v>85</v>
      </c>
      <c r="M25" t="s">
        <v>86</v>
      </c>
      <c r="N25" t="s">
        <v>127</v>
      </c>
      <c r="O25" t="s">
        <v>149</v>
      </c>
      <c r="P25" t="s">
        <v>101</v>
      </c>
      <c r="Q25" t="s">
        <v>150</v>
      </c>
    </row>
    <row r="26" spans="2:17" x14ac:dyDescent="0.3">
      <c r="B26" t="s">
        <v>23</v>
      </c>
      <c r="C26" t="s">
        <v>23</v>
      </c>
      <c r="E26" t="s">
        <v>58</v>
      </c>
      <c r="I26">
        <v>23</v>
      </c>
      <c r="J26" t="s">
        <v>57</v>
      </c>
      <c r="K26">
        <v>44</v>
      </c>
      <c r="L26" t="s">
        <v>103</v>
      </c>
      <c r="M26" t="s">
        <v>95</v>
      </c>
      <c r="N26" t="s">
        <v>151</v>
      </c>
      <c r="O26" t="s">
        <v>152</v>
      </c>
      <c r="P26" t="s">
        <v>89</v>
      </c>
      <c r="Q26" t="s">
        <v>153</v>
      </c>
    </row>
    <row r="27" spans="2:17" x14ac:dyDescent="0.3">
      <c r="B27" t="s">
        <v>24</v>
      </c>
      <c r="C27" t="s">
        <v>24</v>
      </c>
      <c r="E27" t="s">
        <v>59</v>
      </c>
      <c r="I27">
        <v>24</v>
      </c>
      <c r="J27" t="s">
        <v>58</v>
      </c>
      <c r="K27">
        <v>69</v>
      </c>
      <c r="L27" t="s">
        <v>85</v>
      </c>
      <c r="M27" t="s">
        <v>95</v>
      </c>
      <c r="N27" t="s">
        <v>121</v>
      </c>
      <c r="O27" t="s">
        <v>154</v>
      </c>
      <c r="P27" t="s">
        <v>89</v>
      </c>
      <c r="Q27" t="s">
        <v>155</v>
      </c>
    </row>
    <row r="28" spans="2:17" x14ac:dyDescent="0.3">
      <c r="B28" t="s">
        <v>25</v>
      </c>
      <c r="C28" t="s">
        <v>25</v>
      </c>
      <c r="E28" t="s">
        <v>60</v>
      </c>
      <c r="I28">
        <v>25</v>
      </c>
      <c r="J28" t="s">
        <v>59</v>
      </c>
      <c r="K28">
        <v>59</v>
      </c>
      <c r="L28" t="s">
        <v>103</v>
      </c>
      <c r="M28" t="s">
        <v>95</v>
      </c>
      <c r="N28" t="s">
        <v>140</v>
      </c>
      <c r="O28" t="s">
        <v>156</v>
      </c>
      <c r="P28" t="s">
        <v>101</v>
      </c>
      <c r="Q28" t="s">
        <v>157</v>
      </c>
    </row>
    <row r="29" spans="2:17" x14ac:dyDescent="0.3">
      <c r="B29" t="s">
        <v>26</v>
      </c>
      <c r="C29" t="s">
        <v>26</v>
      </c>
      <c r="E29" t="s">
        <v>61</v>
      </c>
      <c r="I29">
        <v>26</v>
      </c>
      <c r="J29" t="s">
        <v>60</v>
      </c>
      <c r="K29">
        <v>33</v>
      </c>
      <c r="L29" t="s">
        <v>85</v>
      </c>
      <c r="M29" t="s">
        <v>95</v>
      </c>
      <c r="N29" t="s">
        <v>121</v>
      </c>
      <c r="O29" t="s">
        <v>158</v>
      </c>
      <c r="P29" t="s">
        <v>101</v>
      </c>
      <c r="Q29" t="s">
        <v>159</v>
      </c>
    </row>
    <row r="30" spans="2:17" x14ac:dyDescent="0.3">
      <c r="B30" t="s">
        <v>27</v>
      </c>
      <c r="C30" t="s">
        <v>27</v>
      </c>
      <c r="E30" t="s">
        <v>62</v>
      </c>
      <c r="I30">
        <v>27</v>
      </c>
      <c r="J30" t="s">
        <v>61</v>
      </c>
      <c r="K30">
        <v>36</v>
      </c>
      <c r="L30" t="s">
        <v>234</v>
      </c>
      <c r="M30" t="s">
        <v>95</v>
      </c>
      <c r="N30" t="s">
        <v>140</v>
      </c>
      <c r="O30" t="s">
        <v>160</v>
      </c>
      <c r="P30" t="s">
        <v>108</v>
      </c>
      <c r="Q30" t="s">
        <v>161</v>
      </c>
    </row>
    <row r="31" spans="2:17" x14ac:dyDescent="0.3">
      <c r="B31" t="s">
        <v>28</v>
      </c>
      <c r="C31" t="s">
        <v>28</v>
      </c>
      <c r="E31" t="s">
        <v>63</v>
      </c>
      <c r="I31">
        <v>28</v>
      </c>
      <c r="J31" t="s">
        <v>62</v>
      </c>
      <c r="K31">
        <v>59</v>
      </c>
      <c r="L31" t="s">
        <v>103</v>
      </c>
      <c r="M31" t="s">
        <v>86</v>
      </c>
      <c r="N31" t="s">
        <v>127</v>
      </c>
      <c r="O31" t="s">
        <v>162</v>
      </c>
      <c r="P31" t="s">
        <v>108</v>
      </c>
      <c r="Q31" t="s">
        <v>163</v>
      </c>
    </row>
    <row r="32" spans="2:17" x14ac:dyDescent="0.3">
      <c r="B32" t="s">
        <v>29</v>
      </c>
      <c r="C32" t="s">
        <v>29</v>
      </c>
      <c r="E32" t="s">
        <v>64</v>
      </c>
      <c r="I32">
        <v>29</v>
      </c>
      <c r="J32" t="s">
        <v>63</v>
      </c>
      <c r="K32">
        <v>31</v>
      </c>
      <c r="L32" t="s">
        <v>85</v>
      </c>
      <c r="M32" t="s">
        <v>86</v>
      </c>
      <c r="N32" t="s">
        <v>127</v>
      </c>
      <c r="O32" t="s">
        <v>164</v>
      </c>
      <c r="P32" t="s">
        <v>89</v>
      </c>
      <c r="Q32" t="s">
        <v>165</v>
      </c>
    </row>
    <row r="33" spans="2:17" x14ac:dyDescent="0.3">
      <c r="B33" t="s">
        <v>30</v>
      </c>
      <c r="C33" t="s">
        <v>30</v>
      </c>
      <c r="E33" t="s">
        <v>65</v>
      </c>
      <c r="I33">
        <v>30</v>
      </c>
      <c r="J33" t="s">
        <v>64</v>
      </c>
      <c r="K33">
        <v>51</v>
      </c>
      <c r="L33" t="s">
        <v>234</v>
      </c>
      <c r="M33" t="s">
        <v>86</v>
      </c>
      <c r="N33" t="s">
        <v>110</v>
      </c>
      <c r="O33" t="s">
        <v>166</v>
      </c>
      <c r="P33" t="s">
        <v>108</v>
      </c>
      <c r="Q33" t="s">
        <v>167</v>
      </c>
    </row>
    <row r="34" spans="2:17" x14ac:dyDescent="0.3">
      <c r="B34" t="s">
        <v>31</v>
      </c>
      <c r="C34" t="s">
        <v>31</v>
      </c>
      <c r="E34" t="s">
        <v>66</v>
      </c>
      <c r="I34">
        <v>31</v>
      </c>
      <c r="J34" t="s">
        <v>65</v>
      </c>
      <c r="K34">
        <v>67</v>
      </c>
      <c r="L34" t="s">
        <v>103</v>
      </c>
      <c r="M34" t="s">
        <v>86</v>
      </c>
      <c r="N34" t="s">
        <v>127</v>
      </c>
      <c r="O34" t="s">
        <v>168</v>
      </c>
      <c r="P34" t="s">
        <v>89</v>
      </c>
      <c r="Q34" t="s">
        <v>169</v>
      </c>
    </row>
    <row r="35" spans="2:17" x14ac:dyDescent="0.3">
      <c r="B35" t="s">
        <v>32</v>
      </c>
      <c r="C35" t="s">
        <v>32</v>
      </c>
      <c r="E35" t="s">
        <v>67</v>
      </c>
      <c r="I35">
        <v>32</v>
      </c>
      <c r="J35" t="s">
        <v>66</v>
      </c>
      <c r="K35">
        <v>52</v>
      </c>
      <c r="L35" t="s">
        <v>234</v>
      </c>
      <c r="M35" t="s">
        <v>86</v>
      </c>
      <c r="N35" t="s">
        <v>91</v>
      </c>
      <c r="O35" t="s">
        <v>170</v>
      </c>
      <c r="P35" t="s">
        <v>105</v>
      </c>
      <c r="Q35" t="s">
        <v>171</v>
      </c>
    </row>
    <row r="36" spans="2:17" x14ac:dyDescent="0.3">
      <c r="B36" t="s">
        <v>33</v>
      </c>
      <c r="C36" t="s">
        <v>33</v>
      </c>
      <c r="E36" t="s">
        <v>68</v>
      </c>
      <c r="I36">
        <v>33</v>
      </c>
      <c r="J36" t="s">
        <v>67</v>
      </c>
      <c r="K36">
        <v>54</v>
      </c>
      <c r="L36" t="s">
        <v>103</v>
      </c>
      <c r="M36" t="s">
        <v>86</v>
      </c>
      <c r="N36" t="s">
        <v>127</v>
      </c>
      <c r="O36" t="s">
        <v>172</v>
      </c>
      <c r="P36" t="s">
        <v>93</v>
      </c>
      <c r="Q36" t="s">
        <v>173</v>
      </c>
    </row>
    <row r="37" spans="2:17" x14ac:dyDescent="0.3">
      <c r="B37" t="s">
        <v>34</v>
      </c>
      <c r="C37" t="s">
        <v>34</v>
      </c>
      <c r="E37" t="s">
        <v>69</v>
      </c>
      <c r="I37">
        <v>34</v>
      </c>
      <c r="J37" t="s">
        <v>68</v>
      </c>
      <c r="K37">
        <v>52</v>
      </c>
      <c r="L37" t="s">
        <v>103</v>
      </c>
      <c r="M37" t="s">
        <v>95</v>
      </c>
      <c r="N37" t="s">
        <v>151</v>
      </c>
      <c r="O37" t="s">
        <v>174</v>
      </c>
      <c r="P37" t="s">
        <v>101</v>
      </c>
      <c r="Q37" t="s">
        <v>175</v>
      </c>
    </row>
    <row r="38" spans="2:17" x14ac:dyDescent="0.3">
      <c r="B38" t="s">
        <v>35</v>
      </c>
      <c r="C38" t="s">
        <v>35</v>
      </c>
      <c r="E38" t="s">
        <v>70</v>
      </c>
      <c r="I38">
        <v>35</v>
      </c>
      <c r="J38" t="s">
        <v>69</v>
      </c>
      <c r="K38">
        <v>65</v>
      </c>
      <c r="L38" t="s">
        <v>85</v>
      </c>
      <c r="M38" t="s">
        <v>86</v>
      </c>
      <c r="N38" t="s">
        <v>110</v>
      </c>
      <c r="O38" t="s">
        <v>176</v>
      </c>
      <c r="P38" t="s">
        <v>101</v>
      </c>
      <c r="Q38" t="s">
        <v>177</v>
      </c>
    </row>
    <row r="39" spans="2:17" x14ac:dyDescent="0.3">
      <c r="E39" t="s">
        <v>71</v>
      </c>
      <c r="I39">
        <v>36</v>
      </c>
      <c r="J39" t="s">
        <v>70</v>
      </c>
      <c r="K39">
        <v>24</v>
      </c>
      <c r="L39" t="s">
        <v>103</v>
      </c>
      <c r="M39" t="s">
        <v>86</v>
      </c>
      <c r="N39" t="s">
        <v>110</v>
      </c>
      <c r="O39" t="s">
        <v>178</v>
      </c>
      <c r="P39" t="s">
        <v>93</v>
      </c>
      <c r="Q39" t="s">
        <v>179</v>
      </c>
    </row>
    <row r="40" spans="2:17" x14ac:dyDescent="0.3">
      <c r="E40" t="s">
        <v>72</v>
      </c>
      <c r="I40">
        <v>37</v>
      </c>
      <c r="J40" t="s">
        <v>71</v>
      </c>
      <c r="K40">
        <v>35</v>
      </c>
      <c r="L40" t="s">
        <v>234</v>
      </c>
      <c r="M40" t="s">
        <v>95</v>
      </c>
      <c r="N40" t="s">
        <v>180</v>
      </c>
      <c r="O40" t="s">
        <v>181</v>
      </c>
      <c r="P40" t="s">
        <v>105</v>
      </c>
      <c r="Q40" t="s">
        <v>182</v>
      </c>
    </row>
    <row r="41" spans="2:17" x14ac:dyDescent="0.3">
      <c r="E41" t="s">
        <v>73</v>
      </c>
      <c r="I41">
        <v>38</v>
      </c>
      <c r="J41" t="s">
        <v>72</v>
      </c>
      <c r="K41">
        <v>26</v>
      </c>
      <c r="L41" t="s">
        <v>85</v>
      </c>
      <c r="M41" t="s">
        <v>95</v>
      </c>
      <c r="N41" t="s">
        <v>183</v>
      </c>
      <c r="O41" t="s">
        <v>184</v>
      </c>
      <c r="P41" t="s">
        <v>93</v>
      </c>
      <c r="Q41" t="s">
        <v>185</v>
      </c>
    </row>
    <row r="42" spans="2:17" x14ac:dyDescent="0.3">
      <c r="E42" t="s">
        <v>74</v>
      </c>
      <c r="I42">
        <v>39</v>
      </c>
      <c r="J42" t="s">
        <v>73</v>
      </c>
      <c r="K42">
        <v>25</v>
      </c>
      <c r="L42" t="s">
        <v>103</v>
      </c>
      <c r="M42" t="s">
        <v>95</v>
      </c>
      <c r="N42" t="s">
        <v>183</v>
      </c>
      <c r="O42" t="s">
        <v>186</v>
      </c>
      <c r="P42" t="s">
        <v>108</v>
      </c>
      <c r="Q42" t="s">
        <v>187</v>
      </c>
    </row>
    <row r="43" spans="2:17" x14ac:dyDescent="0.3">
      <c r="E43" t="s">
        <v>75</v>
      </c>
      <c r="I43">
        <v>40</v>
      </c>
      <c r="J43" t="s">
        <v>74</v>
      </c>
      <c r="K43">
        <v>32</v>
      </c>
      <c r="L43" t="s">
        <v>85</v>
      </c>
      <c r="M43" t="s">
        <v>95</v>
      </c>
      <c r="N43" t="s">
        <v>188</v>
      </c>
      <c r="O43" t="s">
        <v>189</v>
      </c>
      <c r="P43" t="s">
        <v>108</v>
      </c>
      <c r="Q43" t="s">
        <v>190</v>
      </c>
    </row>
    <row r="44" spans="2:17" x14ac:dyDescent="0.3">
      <c r="I44">
        <v>41</v>
      </c>
      <c r="J44" t="s">
        <v>75</v>
      </c>
      <c r="K44">
        <v>26</v>
      </c>
      <c r="L44" t="s">
        <v>85</v>
      </c>
      <c r="M44" t="s">
        <v>86</v>
      </c>
      <c r="N44" t="s">
        <v>110</v>
      </c>
      <c r="O44" t="s">
        <v>191</v>
      </c>
      <c r="P44" t="s">
        <v>89</v>
      </c>
      <c r="Q44" t="s">
        <v>192</v>
      </c>
    </row>
  </sheetData>
  <autoFilter ref="I3:Q44" xr:uid="{13172C1F-A943-4818-ABEE-7AF34D61313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B5065-2FED-403E-959C-32FB669508C4}">
  <dimension ref="A2:G24"/>
  <sheetViews>
    <sheetView workbookViewId="0">
      <selection activeCell="E33" sqref="E33"/>
    </sheetView>
  </sheetViews>
  <sheetFormatPr defaultRowHeight="14.4" x14ac:dyDescent="0.3"/>
  <cols>
    <col min="2" max="2" width="21.21875" bestFit="1" customWidth="1"/>
    <col min="3" max="3" width="11.44140625" customWidth="1"/>
    <col min="4" max="5" width="13.6640625" customWidth="1"/>
  </cols>
  <sheetData>
    <row r="2" spans="1:7" x14ac:dyDescent="0.3">
      <c r="A2" t="s">
        <v>183</v>
      </c>
      <c r="B2" t="s">
        <v>193</v>
      </c>
      <c r="C2" t="s">
        <v>194</v>
      </c>
      <c r="D2" s="1" t="s">
        <v>220</v>
      </c>
      <c r="E2" t="s">
        <v>221</v>
      </c>
    </row>
    <row r="3" spans="1:7" x14ac:dyDescent="0.3">
      <c r="A3">
        <v>1</v>
      </c>
      <c r="B3" t="s">
        <v>195</v>
      </c>
      <c r="C3" t="s">
        <v>196</v>
      </c>
      <c r="D3" s="1">
        <v>20</v>
      </c>
      <c r="E3" s="2">
        <v>2320</v>
      </c>
      <c r="G3">
        <v>5.26</v>
      </c>
    </row>
    <row r="4" spans="1:7" x14ac:dyDescent="0.3">
      <c r="A4">
        <v>2</v>
      </c>
      <c r="B4" t="s">
        <v>197</v>
      </c>
      <c r="C4" t="s">
        <v>198</v>
      </c>
      <c r="D4" s="1">
        <v>30</v>
      </c>
      <c r="E4" s="2">
        <v>2770</v>
      </c>
      <c r="G4">
        <v>7.48</v>
      </c>
    </row>
    <row r="5" spans="1:7" x14ac:dyDescent="0.3">
      <c r="A5">
        <v>3</v>
      </c>
      <c r="B5" t="s">
        <v>199</v>
      </c>
      <c r="C5" t="s">
        <v>196</v>
      </c>
      <c r="D5" s="1">
        <v>10</v>
      </c>
      <c r="E5" s="2">
        <v>760</v>
      </c>
      <c r="G5">
        <v>5.15</v>
      </c>
    </row>
    <row r="6" spans="1:7" x14ac:dyDescent="0.3">
      <c r="A6">
        <v>4</v>
      </c>
      <c r="B6" t="s">
        <v>200</v>
      </c>
      <c r="C6" t="s">
        <v>196</v>
      </c>
      <c r="D6" s="1">
        <v>10</v>
      </c>
      <c r="E6" s="2">
        <v>2840</v>
      </c>
      <c r="G6">
        <v>3.85</v>
      </c>
    </row>
    <row r="7" spans="1:7" x14ac:dyDescent="0.3">
      <c r="A7">
        <v>5</v>
      </c>
      <c r="B7" t="s">
        <v>201</v>
      </c>
      <c r="C7" t="s">
        <v>196</v>
      </c>
      <c r="D7" s="1">
        <v>15</v>
      </c>
      <c r="E7" s="2">
        <v>1990</v>
      </c>
      <c r="G7">
        <v>5.72</v>
      </c>
    </row>
    <row r="8" spans="1:7" x14ac:dyDescent="0.3">
      <c r="A8">
        <v>6</v>
      </c>
      <c r="B8" t="s">
        <v>202</v>
      </c>
      <c r="C8" t="s">
        <v>198</v>
      </c>
      <c r="D8" s="1">
        <v>10</v>
      </c>
      <c r="E8" s="2">
        <v>1280</v>
      </c>
      <c r="G8">
        <v>6.31</v>
      </c>
    </row>
    <row r="9" spans="1:7" x14ac:dyDescent="0.3">
      <c r="A9">
        <v>7</v>
      </c>
      <c r="B9" t="s">
        <v>203</v>
      </c>
      <c r="C9" t="s">
        <v>204</v>
      </c>
      <c r="D9" s="1">
        <v>15</v>
      </c>
      <c r="E9" s="2">
        <v>660</v>
      </c>
      <c r="G9">
        <v>9.94</v>
      </c>
    </row>
    <row r="10" spans="1:7" x14ac:dyDescent="0.3">
      <c r="A10">
        <v>8</v>
      </c>
      <c r="B10" t="s">
        <v>205</v>
      </c>
      <c r="C10" t="s">
        <v>196</v>
      </c>
      <c r="D10" s="1">
        <v>30</v>
      </c>
      <c r="E10" s="2">
        <v>980</v>
      </c>
      <c r="G10">
        <v>7.73</v>
      </c>
    </row>
    <row r="11" spans="1:7" x14ac:dyDescent="0.3">
      <c r="A11">
        <v>9</v>
      </c>
      <c r="B11" t="s">
        <v>206</v>
      </c>
      <c r="C11" t="s">
        <v>196</v>
      </c>
      <c r="D11" s="1">
        <v>30</v>
      </c>
      <c r="E11" s="2">
        <v>1660</v>
      </c>
      <c r="G11">
        <v>3.68</v>
      </c>
    </row>
    <row r="12" spans="1:7" x14ac:dyDescent="0.3">
      <c r="A12">
        <v>10</v>
      </c>
      <c r="B12" t="s">
        <v>207</v>
      </c>
      <c r="C12" t="s">
        <v>198</v>
      </c>
      <c r="D12" s="1">
        <v>25</v>
      </c>
      <c r="E12" s="2">
        <v>500</v>
      </c>
      <c r="G12">
        <v>8.2200000000000006</v>
      </c>
    </row>
    <row r="13" spans="1:7" x14ac:dyDescent="0.3">
      <c r="A13">
        <v>11</v>
      </c>
      <c r="B13" t="s">
        <v>208</v>
      </c>
      <c r="C13" t="s">
        <v>198</v>
      </c>
      <c r="D13" s="1">
        <v>10</v>
      </c>
      <c r="E13" s="2">
        <v>1070</v>
      </c>
      <c r="G13">
        <v>10.23</v>
      </c>
    </row>
    <row r="14" spans="1:7" x14ac:dyDescent="0.3">
      <c r="A14">
        <v>12</v>
      </c>
      <c r="B14" t="s">
        <v>209</v>
      </c>
      <c r="C14" t="s">
        <v>196</v>
      </c>
      <c r="D14" s="1">
        <v>10</v>
      </c>
      <c r="E14" s="2">
        <v>1570</v>
      </c>
      <c r="G14">
        <v>4.74</v>
      </c>
    </row>
    <row r="15" spans="1:7" x14ac:dyDescent="0.3">
      <c r="A15">
        <v>13</v>
      </c>
      <c r="B15" t="s">
        <v>210</v>
      </c>
      <c r="C15" t="s">
        <v>196</v>
      </c>
      <c r="D15" s="1">
        <v>10</v>
      </c>
      <c r="E15" s="2">
        <v>1920</v>
      </c>
      <c r="G15">
        <v>10.51</v>
      </c>
    </row>
    <row r="16" spans="1:7" x14ac:dyDescent="0.3">
      <c r="A16">
        <v>14</v>
      </c>
      <c r="B16" t="s">
        <v>211</v>
      </c>
      <c r="C16" t="s">
        <v>204</v>
      </c>
      <c r="D16" s="1">
        <v>25</v>
      </c>
      <c r="E16" s="2">
        <v>1770</v>
      </c>
      <c r="G16">
        <v>6.43</v>
      </c>
    </row>
    <row r="17" spans="1:7" x14ac:dyDescent="0.3">
      <c r="A17">
        <v>15</v>
      </c>
      <c r="B17" t="s">
        <v>212</v>
      </c>
      <c r="C17" t="s">
        <v>196</v>
      </c>
      <c r="D17" s="1">
        <v>30</v>
      </c>
      <c r="E17" s="2">
        <v>2790</v>
      </c>
      <c r="G17">
        <v>12.41</v>
      </c>
    </row>
    <row r="18" spans="1:7" x14ac:dyDescent="0.3">
      <c r="A18">
        <v>16</v>
      </c>
      <c r="B18" t="s">
        <v>213</v>
      </c>
      <c r="C18" t="s">
        <v>204</v>
      </c>
      <c r="D18" s="1">
        <v>20</v>
      </c>
      <c r="E18" s="2">
        <v>2480</v>
      </c>
      <c r="G18">
        <v>9.57</v>
      </c>
    </row>
    <row r="19" spans="1:7" x14ac:dyDescent="0.3">
      <c r="A19">
        <v>17</v>
      </c>
      <c r="B19" t="s">
        <v>214</v>
      </c>
      <c r="C19" t="s">
        <v>196</v>
      </c>
      <c r="D19" s="1">
        <v>15</v>
      </c>
      <c r="E19" s="2">
        <v>2950</v>
      </c>
      <c r="G19">
        <v>8.43</v>
      </c>
    </row>
    <row r="20" spans="1:7" x14ac:dyDescent="0.3">
      <c r="A20">
        <v>18</v>
      </c>
      <c r="B20" t="s">
        <v>215</v>
      </c>
      <c r="C20" t="s">
        <v>204</v>
      </c>
      <c r="D20" s="1">
        <v>15</v>
      </c>
      <c r="E20" s="2">
        <v>1740</v>
      </c>
      <c r="G20">
        <v>6.8</v>
      </c>
    </row>
    <row r="21" spans="1:7" x14ac:dyDescent="0.3">
      <c r="A21">
        <v>19</v>
      </c>
      <c r="B21" t="s">
        <v>216</v>
      </c>
      <c r="C21" t="s">
        <v>198</v>
      </c>
      <c r="D21" s="1">
        <v>30</v>
      </c>
      <c r="E21" s="2">
        <v>1440</v>
      </c>
      <c r="G21">
        <v>5.04</v>
      </c>
    </row>
    <row r="22" spans="1:7" x14ac:dyDescent="0.3">
      <c r="A22">
        <v>20</v>
      </c>
      <c r="B22" t="s">
        <v>217</v>
      </c>
      <c r="C22" t="s">
        <v>196</v>
      </c>
      <c r="D22" s="1">
        <v>25</v>
      </c>
      <c r="E22" s="2">
        <v>700</v>
      </c>
      <c r="G22">
        <v>2.76</v>
      </c>
    </row>
    <row r="23" spans="1:7" x14ac:dyDescent="0.3">
      <c r="A23">
        <v>21</v>
      </c>
      <c r="B23" t="s">
        <v>218</v>
      </c>
      <c r="C23" t="s">
        <v>198</v>
      </c>
      <c r="D23" s="1">
        <v>30</v>
      </c>
      <c r="E23" s="2">
        <v>1940</v>
      </c>
      <c r="G23">
        <v>3.32</v>
      </c>
    </row>
    <row r="24" spans="1:7" x14ac:dyDescent="0.3">
      <c r="A24">
        <v>22</v>
      </c>
      <c r="B24" t="s">
        <v>219</v>
      </c>
      <c r="C24" t="s">
        <v>198</v>
      </c>
      <c r="D24" s="1">
        <v>25</v>
      </c>
      <c r="E24" s="2">
        <v>2500</v>
      </c>
      <c r="G24">
        <v>2.65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D3BA-60FB-4466-AB06-E454B52BE4E3}">
  <dimension ref="B2:P52"/>
  <sheetViews>
    <sheetView workbookViewId="0">
      <selection activeCell="G3" sqref="G3:G22"/>
    </sheetView>
  </sheetViews>
  <sheetFormatPr defaultRowHeight="14.4" x14ac:dyDescent="0.3"/>
  <cols>
    <col min="2" max="2" width="10.88671875" bestFit="1" customWidth="1"/>
    <col min="3" max="3" width="9.33203125" bestFit="1" customWidth="1"/>
    <col min="4" max="4" width="10.33203125" bestFit="1" customWidth="1"/>
    <col min="5" max="5" width="8.6640625" bestFit="1" customWidth="1"/>
    <col min="6" max="6" width="11.109375" bestFit="1" customWidth="1"/>
    <col min="7" max="7" width="11" customWidth="1"/>
    <col min="11" max="11" width="10.88671875" bestFit="1" customWidth="1"/>
    <col min="12" max="12" width="9.33203125" bestFit="1" customWidth="1"/>
    <col min="13" max="13" width="9.77734375" bestFit="1" customWidth="1"/>
    <col min="14" max="14" width="8.6640625" bestFit="1" customWidth="1"/>
    <col min="15" max="15" width="11.109375" bestFit="1" customWidth="1"/>
    <col min="16" max="16" width="9.44140625" bestFit="1" customWidth="1"/>
  </cols>
  <sheetData>
    <row r="2" spans="2:16" x14ac:dyDescent="0.3">
      <c r="B2" t="s">
        <v>222</v>
      </c>
      <c r="C2" t="s">
        <v>223</v>
      </c>
      <c r="D2" t="s">
        <v>224</v>
      </c>
      <c r="E2" t="s">
        <v>225</v>
      </c>
      <c r="F2" t="s">
        <v>226</v>
      </c>
      <c r="G2" t="s">
        <v>227</v>
      </c>
      <c r="K2" t="s">
        <v>222</v>
      </c>
      <c r="L2" t="s">
        <v>223</v>
      </c>
      <c r="M2" t="s">
        <v>224</v>
      </c>
      <c r="N2" t="s">
        <v>225</v>
      </c>
      <c r="O2" t="s">
        <v>226</v>
      </c>
      <c r="P2" t="s">
        <v>227</v>
      </c>
    </row>
    <row r="3" spans="2:16" x14ac:dyDescent="0.3">
      <c r="B3" cm="1">
        <f t="array" aca="1" ref="B3:B52" ca="1">_xlfn.RANDARRAY(50,,1,40,TRUE)</f>
        <v>39</v>
      </c>
      <c r="C3" cm="1">
        <f t="array" aca="1" ref="C3:C52" ca="1">_xlfn.RANDARRAY(50,,1,22,TRUE)</f>
        <v>1</v>
      </c>
      <c r="D3" s="5" cm="1">
        <f t="array" aca="1" ref="D3:D52" ca="1">_xlfn.RANDARRAY(50,,"1-jun-2025","30-jun-2025",TRUE)</f>
        <v>45815</v>
      </c>
      <c r="E3" cm="1">
        <f t="array" aca="1" ref="E3:E52" ca="1">(INT(ABS(_xlfn.NORM.INV(_xlfn.RANDARRAY(50),4,4)))+1)*15</f>
        <v>90</v>
      </c>
      <c r="F3" cm="1">
        <f t="array" aca="1" ref="F3:F52" ca="1">MROUND(_xlfn.CHOOSEROWS(Products!$G$3:$G$24,_xlfn.ANCHORARRAY(Orders!C3))*_xlfn.RANDARRAY(50,,2,5,TRUE)*_xlfn.ANCHORARRAY(E3),5)</f>
        <v>1420</v>
      </c>
      <c r="G3" t="str" cm="1">
        <f t="array" aca="1" ref="G3:G52" ca="1">IF(_xlfn.RANDARRAY(50)&lt;0.7, "YES","NO")</f>
        <v>YES</v>
      </c>
      <c r="K3">
        <v>51</v>
      </c>
      <c r="L3">
        <v>28</v>
      </c>
      <c r="M3" s="3">
        <v>45825</v>
      </c>
      <c r="N3">
        <v>150</v>
      </c>
      <c r="O3" s="4">
        <v>1545</v>
      </c>
      <c r="P3" t="s">
        <v>228</v>
      </c>
    </row>
    <row r="4" spans="2:16" x14ac:dyDescent="0.3">
      <c r="B4">
        <f ca="1"/>
        <v>22</v>
      </c>
      <c r="C4">
        <f ca="1"/>
        <v>12</v>
      </c>
      <c r="D4" s="5">
        <f ca="1"/>
        <v>45828</v>
      </c>
      <c r="E4">
        <f ca="1"/>
        <v>15</v>
      </c>
      <c r="F4">
        <f ca="1"/>
        <v>285</v>
      </c>
      <c r="G4" t="str">
        <f ca="1"/>
        <v>YES</v>
      </c>
      <c r="K4">
        <v>51</v>
      </c>
      <c r="L4">
        <v>35</v>
      </c>
      <c r="M4" s="3">
        <v>45829</v>
      </c>
      <c r="N4">
        <v>75</v>
      </c>
      <c r="O4" s="4">
        <v>3085</v>
      </c>
      <c r="P4" t="s">
        <v>229</v>
      </c>
    </row>
    <row r="5" spans="2:16" x14ac:dyDescent="0.3">
      <c r="B5">
        <f ca="1"/>
        <v>28</v>
      </c>
      <c r="C5">
        <f ca="1"/>
        <v>21</v>
      </c>
      <c r="D5" s="5">
        <f ca="1"/>
        <v>45820</v>
      </c>
      <c r="E5">
        <f ca="1"/>
        <v>60</v>
      </c>
      <c r="F5">
        <f ca="1"/>
        <v>400</v>
      </c>
      <c r="G5" t="str">
        <f ca="1"/>
        <v>YES</v>
      </c>
      <c r="K5">
        <v>53</v>
      </c>
      <c r="L5">
        <v>29</v>
      </c>
      <c r="M5" s="3">
        <v>45812</v>
      </c>
      <c r="N5">
        <v>15</v>
      </c>
      <c r="O5" s="4">
        <v>175</v>
      </c>
      <c r="P5" t="s">
        <v>228</v>
      </c>
    </row>
    <row r="6" spans="2:16" x14ac:dyDescent="0.3">
      <c r="B6">
        <f ca="1"/>
        <v>1</v>
      </c>
      <c r="C6">
        <f ca="1"/>
        <v>17</v>
      </c>
      <c r="D6" s="5">
        <f ca="1"/>
        <v>45812</v>
      </c>
      <c r="E6">
        <f ca="1"/>
        <v>135</v>
      </c>
      <c r="F6">
        <f ca="1"/>
        <v>5690</v>
      </c>
      <c r="G6" t="str">
        <f ca="1"/>
        <v>YES</v>
      </c>
      <c r="K6">
        <v>54</v>
      </c>
      <c r="L6">
        <v>42</v>
      </c>
      <c r="M6" s="3">
        <v>45811</v>
      </c>
      <c r="N6">
        <v>195</v>
      </c>
      <c r="O6" s="4">
        <v>4930</v>
      </c>
      <c r="P6" t="s">
        <v>229</v>
      </c>
    </row>
    <row r="7" spans="2:16" x14ac:dyDescent="0.3">
      <c r="B7">
        <f ca="1"/>
        <v>25</v>
      </c>
      <c r="C7">
        <f ca="1"/>
        <v>2</v>
      </c>
      <c r="D7" s="5">
        <f ca="1"/>
        <v>45824</v>
      </c>
      <c r="E7">
        <f ca="1"/>
        <v>15</v>
      </c>
      <c r="F7">
        <f ca="1"/>
        <v>225</v>
      </c>
      <c r="G7" t="str">
        <f ca="1"/>
        <v>NO</v>
      </c>
      <c r="K7">
        <v>54</v>
      </c>
      <c r="L7">
        <v>35</v>
      </c>
      <c r="M7" s="3">
        <v>45830</v>
      </c>
      <c r="N7">
        <v>15</v>
      </c>
      <c r="O7" s="4">
        <v>615</v>
      </c>
      <c r="P7" t="s">
        <v>229</v>
      </c>
    </row>
    <row r="8" spans="2:16" x14ac:dyDescent="0.3">
      <c r="B8">
        <f ca="1"/>
        <v>19</v>
      </c>
      <c r="C8">
        <f ca="1"/>
        <v>4</v>
      </c>
      <c r="D8" s="5">
        <f ca="1"/>
        <v>45838</v>
      </c>
      <c r="E8">
        <f ca="1"/>
        <v>60</v>
      </c>
      <c r="F8">
        <f ca="1"/>
        <v>925</v>
      </c>
      <c r="G8" t="str">
        <f ca="1"/>
        <v>NO</v>
      </c>
      <c r="K8">
        <v>54</v>
      </c>
      <c r="L8">
        <v>40</v>
      </c>
      <c r="M8" s="3">
        <v>45814</v>
      </c>
      <c r="N8">
        <v>60</v>
      </c>
      <c r="O8" s="4">
        <v>3725</v>
      </c>
      <c r="P8" t="s">
        <v>229</v>
      </c>
    </row>
    <row r="9" spans="2:16" x14ac:dyDescent="0.3">
      <c r="B9">
        <f ca="1"/>
        <v>40</v>
      </c>
      <c r="C9">
        <f ca="1"/>
        <v>3</v>
      </c>
      <c r="D9" s="5">
        <f ca="1"/>
        <v>45837</v>
      </c>
      <c r="E9">
        <f ca="1"/>
        <v>105</v>
      </c>
      <c r="F9">
        <f ca="1"/>
        <v>2705</v>
      </c>
      <c r="G9" t="str">
        <f ca="1"/>
        <v>YES</v>
      </c>
      <c r="K9">
        <v>54</v>
      </c>
      <c r="L9">
        <v>41</v>
      </c>
      <c r="M9" s="3">
        <v>45810</v>
      </c>
      <c r="N9">
        <v>180</v>
      </c>
      <c r="O9" s="4">
        <v>8615</v>
      </c>
      <c r="P9" t="s">
        <v>229</v>
      </c>
    </row>
    <row r="10" spans="2:16" x14ac:dyDescent="0.3">
      <c r="B10">
        <f ca="1"/>
        <v>20</v>
      </c>
      <c r="C10">
        <f ca="1"/>
        <v>22</v>
      </c>
      <c r="D10" s="5">
        <f ca="1"/>
        <v>45826</v>
      </c>
      <c r="E10">
        <f ca="1"/>
        <v>60</v>
      </c>
      <c r="F10">
        <f ca="1"/>
        <v>635</v>
      </c>
      <c r="G10" t="str">
        <f ca="1"/>
        <v>NO</v>
      </c>
      <c r="K10">
        <v>57</v>
      </c>
      <c r="L10">
        <v>40</v>
      </c>
      <c r="M10" s="3">
        <v>45829</v>
      </c>
      <c r="N10">
        <v>150</v>
      </c>
      <c r="O10" s="4">
        <v>5585</v>
      </c>
      <c r="P10" t="s">
        <v>229</v>
      </c>
    </row>
    <row r="11" spans="2:16" x14ac:dyDescent="0.3">
      <c r="B11">
        <f ca="1"/>
        <v>34</v>
      </c>
      <c r="C11">
        <f ca="1"/>
        <v>8</v>
      </c>
      <c r="D11" s="5">
        <f ca="1"/>
        <v>45816</v>
      </c>
      <c r="E11">
        <f ca="1"/>
        <v>30</v>
      </c>
      <c r="F11">
        <f ca="1"/>
        <v>1160</v>
      </c>
      <c r="G11" t="str">
        <f ca="1"/>
        <v>YES</v>
      </c>
      <c r="K11">
        <v>57</v>
      </c>
      <c r="L11">
        <v>36</v>
      </c>
      <c r="M11" s="3">
        <v>45835</v>
      </c>
      <c r="N11">
        <v>45</v>
      </c>
      <c r="O11" s="4">
        <v>920</v>
      </c>
      <c r="P11" t="s">
        <v>229</v>
      </c>
    </row>
    <row r="12" spans="2:16" x14ac:dyDescent="0.3">
      <c r="B12">
        <f ca="1"/>
        <v>28</v>
      </c>
      <c r="C12">
        <f ca="1"/>
        <v>13</v>
      </c>
      <c r="D12" s="5">
        <f ca="1"/>
        <v>45814</v>
      </c>
      <c r="E12">
        <f ca="1"/>
        <v>180</v>
      </c>
      <c r="F12">
        <f ca="1"/>
        <v>9460</v>
      </c>
      <c r="G12" t="str">
        <f ca="1"/>
        <v>YES</v>
      </c>
      <c r="K12">
        <v>57</v>
      </c>
      <c r="L12">
        <v>39</v>
      </c>
      <c r="M12" s="3">
        <v>45817</v>
      </c>
      <c r="N12">
        <v>180</v>
      </c>
      <c r="O12" s="4">
        <v>5785</v>
      </c>
      <c r="P12" t="s">
        <v>228</v>
      </c>
    </row>
    <row r="13" spans="2:16" x14ac:dyDescent="0.3">
      <c r="B13">
        <f ca="1"/>
        <v>20</v>
      </c>
      <c r="C13">
        <f ca="1"/>
        <v>18</v>
      </c>
      <c r="D13" s="5">
        <f ca="1"/>
        <v>45822</v>
      </c>
      <c r="E13">
        <f ca="1"/>
        <v>90</v>
      </c>
      <c r="F13">
        <f ca="1"/>
        <v>1835</v>
      </c>
      <c r="G13" t="str">
        <f ca="1"/>
        <v>YES</v>
      </c>
      <c r="K13">
        <v>58</v>
      </c>
      <c r="L13">
        <v>39</v>
      </c>
      <c r="M13" s="3">
        <v>45810</v>
      </c>
      <c r="N13">
        <v>30</v>
      </c>
      <c r="O13" s="4">
        <v>580</v>
      </c>
      <c r="P13" t="s">
        <v>228</v>
      </c>
    </row>
    <row r="14" spans="2:16" x14ac:dyDescent="0.3">
      <c r="B14">
        <f ca="1"/>
        <v>11</v>
      </c>
      <c r="C14">
        <f ca="1"/>
        <v>21</v>
      </c>
      <c r="D14" s="5">
        <f ca="1"/>
        <v>45830</v>
      </c>
      <c r="E14">
        <f ca="1"/>
        <v>30</v>
      </c>
      <c r="F14">
        <f ca="1"/>
        <v>400</v>
      </c>
      <c r="G14" t="str">
        <f ca="1"/>
        <v>YES</v>
      </c>
      <c r="K14">
        <v>61</v>
      </c>
      <c r="L14">
        <v>36</v>
      </c>
      <c r="M14" s="3">
        <v>45834</v>
      </c>
      <c r="N14">
        <v>105</v>
      </c>
      <c r="O14" s="4">
        <v>2150</v>
      </c>
      <c r="P14" t="s">
        <v>229</v>
      </c>
    </row>
    <row r="15" spans="2:16" x14ac:dyDescent="0.3">
      <c r="B15">
        <f ca="1"/>
        <v>26</v>
      </c>
      <c r="C15">
        <f ca="1"/>
        <v>9</v>
      </c>
      <c r="D15" s="5">
        <f ca="1"/>
        <v>45833</v>
      </c>
      <c r="E15">
        <f ca="1"/>
        <v>90</v>
      </c>
      <c r="F15">
        <f ca="1"/>
        <v>1325</v>
      </c>
      <c r="G15" t="str">
        <f ca="1"/>
        <v>YES</v>
      </c>
      <c r="K15">
        <v>61</v>
      </c>
      <c r="L15">
        <v>36</v>
      </c>
      <c r="M15" s="3">
        <v>45825</v>
      </c>
      <c r="N15">
        <v>60</v>
      </c>
      <c r="O15" s="4">
        <v>2455</v>
      </c>
      <c r="P15" t="s">
        <v>229</v>
      </c>
    </row>
    <row r="16" spans="2:16" x14ac:dyDescent="0.3">
      <c r="B16">
        <f ca="1"/>
        <v>13</v>
      </c>
      <c r="C16">
        <f ca="1"/>
        <v>3</v>
      </c>
      <c r="D16" s="5">
        <f ca="1"/>
        <v>45830</v>
      </c>
      <c r="E16">
        <f ca="1"/>
        <v>45</v>
      </c>
      <c r="F16">
        <f ca="1"/>
        <v>925</v>
      </c>
      <c r="G16" t="str">
        <f ca="1"/>
        <v>YES</v>
      </c>
      <c r="K16">
        <v>62</v>
      </c>
      <c r="L16">
        <v>26</v>
      </c>
      <c r="M16" s="3">
        <v>45833</v>
      </c>
      <c r="N16">
        <v>120</v>
      </c>
      <c r="O16" s="4">
        <v>2525</v>
      </c>
      <c r="P16" t="s">
        <v>228</v>
      </c>
    </row>
    <row r="17" spans="2:16" x14ac:dyDescent="0.3">
      <c r="B17">
        <f ca="1"/>
        <v>15</v>
      </c>
      <c r="C17">
        <f ca="1"/>
        <v>19</v>
      </c>
      <c r="D17" s="5">
        <f ca="1"/>
        <v>45823</v>
      </c>
      <c r="E17">
        <f ca="1"/>
        <v>120</v>
      </c>
      <c r="F17">
        <f ca="1"/>
        <v>2420</v>
      </c>
      <c r="G17" t="str">
        <f ca="1"/>
        <v>YES</v>
      </c>
      <c r="K17">
        <v>62</v>
      </c>
      <c r="L17">
        <v>45</v>
      </c>
      <c r="M17" s="3">
        <v>45822</v>
      </c>
      <c r="N17">
        <v>45</v>
      </c>
      <c r="O17" s="4">
        <v>375</v>
      </c>
      <c r="P17" t="s">
        <v>229</v>
      </c>
    </row>
    <row r="18" spans="2:16" x14ac:dyDescent="0.3">
      <c r="B18">
        <f ca="1"/>
        <v>27</v>
      </c>
      <c r="C18">
        <f ca="1"/>
        <v>1</v>
      </c>
      <c r="D18" s="5">
        <f ca="1"/>
        <v>45828</v>
      </c>
      <c r="E18">
        <f ca="1"/>
        <v>75</v>
      </c>
      <c r="F18">
        <f ca="1"/>
        <v>790</v>
      </c>
      <c r="G18" t="str">
        <f ca="1"/>
        <v>NO</v>
      </c>
      <c r="K18">
        <v>63</v>
      </c>
      <c r="L18">
        <v>44</v>
      </c>
      <c r="M18" s="3">
        <v>45837</v>
      </c>
      <c r="N18">
        <v>105</v>
      </c>
      <c r="O18" s="4">
        <v>1590</v>
      </c>
      <c r="P18" t="s">
        <v>228</v>
      </c>
    </row>
    <row r="19" spans="2:16" x14ac:dyDescent="0.3">
      <c r="B19">
        <f ca="1"/>
        <v>29</v>
      </c>
      <c r="C19">
        <f ca="1"/>
        <v>16</v>
      </c>
      <c r="D19" s="5">
        <f ca="1"/>
        <v>45827</v>
      </c>
      <c r="E19">
        <f ca="1"/>
        <v>195</v>
      </c>
      <c r="F19">
        <f ca="1"/>
        <v>3730</v>
      </c>
      <c r="G19" t="str">
        <f ca="1"/>
        <v>NO</v>
      </c>
      <c r="K19">
        <v>64</v>
      </c>
      <c r="L19">
        <v>44</v>
      </c>
      <c r="M19" s="3">
        <v>45809</v>
      </c>
      <c r="N19">
        <v>15</v>
      </c>
      <c r="O19" s="4">
        <v>225</v>
      </c>
      <c r="P19" t="s">
        <v>228</v>
      </c>
    </row>
    <row r="20" spans="2:16" x14ac:dyDescent="0.3">
      <c r="B20">
        <f ca="1"/>
        <v>1</v>
      </c>
      <c r="C20">
        <f ca="1"/>
        <v>1</v>
      </c>
      <c r="D20" s="5">
        <f ca="1"/>
        <v>45830</v>
      </c>
      <c r="E20">
        <f ca="1"/>
        <v>15</v>
      </c>
      <c r="F20">
        <f ca="1"/>
        <v>315</v>
      </c>
      <c r="G20" t="str">
        <f ca="1"/>
        <v>YES</v>
      </c>
      <c r="K20">
        <v>64</v>
      </c>
      <c r="L20">
        <v>36</v>
      </c>
      <c r="M20" s="3">
        <v>45828</v>
      </c>
      <c r="N20">
        <v>135</v>
      </c>
      <c r="O20" s="4">
        <v>5525</v>
      </c>
      <c r="P20" t="s">
        <v>228</v>
      </c>
    </row>
    <row r="21" spans="2:16" x14ac:dyDescent="0.3">
      <c r="B21">
        <f ca="1"/>
        <v>30</v>
      </c>
      <c r="C21">
        <f ca="1"/>
        <v>15</v>
      </c>
      <c r="D21" s="5">
        <f ca="1"/>
        <v>45812</v>
      </c>
      <c r="E21">
        <f ca="1"/>
        <v>90</v>
      </c>
      <c r="F21">
        <f ca="1"/>
        <v>4470</v>
      </c>
      <c r="G21" t="str">
        <f ca="1"/>
        <v>YES</v>
      </c>
      <c r="K21">
        <v>66</v>
      </c>
      <c r="L21">
        <v>41</v>
      </c>
      <c r="M21" s="3">
        <v>45819</v>
      </c>
      <c r="N21">
        <v>60</v>
      </c>
      <c r="O21" s="4">
        <v>2870</v>
      </c>
      <c r="P21" t="s">
        <v>229</v>
      </c>
    </row>
    <row r="22" spans="2:16" x14ac:dyDescent="0.3">
      <c r="B22">
        <f ca="1"/>
        <v>1</v>
      </c>
      <c r="C22">
        <f ca="1"/>
        <v>4</v>
      </c>
      <c r="D22" s="5">
        <f ca="1"/>
        <v>45832</v>
      </c>
      <c r="E22">
        <f ca="1"/>
        <v>120</v>
      </c>
      <c r="F22">
        <f ca="1"/>
        <v>925</v>
      </c>
      <c r="G22" t="str">
        <f ca="1"/>
        <v>YES</v>
      </c>
      <c r="K22">
        <v>66</v>
      </c>
      <c r="L22">
        <v>40</v>
      </c>
      <c r="M22" s="3">
        <v>45834</v>
      </c>
      <c r="N22">
        <v>45</v>
      </c>
      <c r="O22" s="4">
        <v>1115</v>
      </c>
      <c r="P22" t="s">
        <v>228</v>
      </c>
    </row>
    <row r="23" spans="2:16" x14ac:dyDescent="0.3">
      <c r="B23">
        <f ca="1"/>
        <v>11</v>
      </c>
      <c r="C23">
        <f ca="1"/>
        <v>16</v>
      </c>
      <c r="D23" s="5">
        <f ca="1"/>
        <v>45821</v>
      </c>
      <c r="E23">
        <f ca="1"/>
        <v>45</v>
      </c>
      <c r="F23">
        <f ca="1"/>
        <v>1290</v>
      </c>
      <c r="G23" t="str">
        <f ca="1"/>
        <v>YES</v>
      </c>
      <c r="K23">
        <v>67</v>
      </c>
      <c r="L23">
        <v>26</v>
      </c>
      <c r="M23" s="3">
        <v>45813</v>
      </c>
      <c r="N23">
        <v>90</v>
      </c>
      <c r="O23" s="4">
        <v>2365</v>
      </c>
      <c r="P23" t="s">
        <v>228</v>
      </c>
    </row>
    <row r="24" spans="2:16" x14ac:dyDescent="0.3">
      <c r="B24">
        <f ca="1"/>
        <v>17</v>
      </c>
      <c r="C24">
        <f ca="1"/>
        <v>6</v>
      </c>
      <c r="D24" s="5">
        <f ca="1"/>
        <v>45831</v>
      </c>
      <c r="E24">
        <f ca="1"/>
        <v>135</v>
      </c>
      <c r="F24">
        <f ca="1"/>
        <v>2555</v>
      </c>
      <c r="G24" t="str">
        <f ca="1"/>
        <v>NO</v>
      </c>
      <c r="K24">
        <v>67</v>
      </c>
      <c r="L24">
        <v>43</v>
      </c>
      <c r="M24" s="3">
        <v>45816</v>
      </c>
      <c r="N24">
        <v>105</v>
      </c>
      <c r="O24" s="4">
        <v>3570</v>
      </c>
      <c r="P24" t="s">
        <v>229</v>
      </c>
    </row>
    <row r="25" spans="2:16" x14ac:dyDescent="0.3">
      <c r="B25">
        <f ca="1"/>
        <v>30</v>
      </c>
      <c r="C25">
        <f ca="1"/>
        <v>19</v>
      </c>
      <c r="D25" s="5">
        <f ca="1"/>
        <v>45824</v>
      </c>
      <c r="E25">
        <f ca="1"/>
        <v>105</v>
      </c>
      <c r="F25">
        <f ca="1"/>
        <v>1060</v>
      </c>
      <c r="G25" t="str">
        <f ca="1"/>
        <v>NO</v>
      </c>
      <c r="K25">
        <v>68</v>
      </c>
      <c r="L25">
        <v>34</v>
      </c>
      <c r="M25" s="3">
        <v>45819</v>
      </c>
      <c r="N25">
        <v>90</v>
      </c>
      <c r="O25" s="4">
        <v>1655</v>
      </c>
      <c r="P25" t="s">
        <v>228</v>
      </c>
    </row>
    <row r="26" spans="2:16" x14ac:dyDescent="0.3">
      <c r="B26">
        <f ca="1"/>
        <v>26</v>
      </c>
      <c r="C26">
        <f ca="1"/>
        <v>7</v>
      </c>
      <c r="D26" s="5">
        <f ca="1"/>
        <v>45827</v>
      </c>
      <c r="E26">
        <f ca="1"/>
        <v>195</v>
      </c>
      <c r="F26">
        <f ca="1"/>
        <v>7755</v>
      </c>
      <c r="G26" t="str">
        <f ca="1"/>
        <v>NO</v>
      </c>
      <c r="K26">
        <v>69</v>
      </c>
      <c r="L26">
        <v>35</v>
      </c>
      <c r="M26" s="3">
        <v>45823</v>
      </c>
      <c r="N26">
        <v>120</v>
      </c>
      <c r="O26" s="4">
        <v>4930</v>
      </c>
      <c r="P26" t="s">
        <v>228</v>
      </c>
    </row>
    <row r="27" spans="2:16" x14ac:dyDescent="0.3">
      <c r="B27">
        <f ca="1"/>
        <v>6</v>
      </c>
      <c r="C27">
        <f ca="1"/>
        <v>6</v>
      </c>
      <c r="D27" s="5">
        <f ca="1"/>
        <v>45838</v>
      </c>
      <c r="E27">
        <f ca="1"/>
        <v>60</v>
      </c>
      <c r="F27">
        <f ca="1"/>
        <v>755</v>
      </c>
      <c r="G27" t="str">
        <f ca="1"/>
        <v>YES</v>
      </c>
      <c r="K27">
        <v>70</v>
      </c>
      <c r="L27">
        <v>43</v>
      </c>
      <c r="M27" s="3">
        <v>45831</v>
      </c>
      <c r="N27">
        <v>165</v>
      </c>
      <c r="O27" s="4">
        <v>4490</v>
      </c>
      <c r="P27" t="s">
        <v>228</v>
      </c>
    </row>
    <row r="28" spans="2:16" x14ac:dyDescent="0.3">
      <c r="B28">
        <f ca="1"/>
        <v>15</v>
      </c>
      <c r="C28">
        <f ca="1"/>
        <v>17</v>
      </c>
      <c r="D28" s="5">
        <f ca="1"/>
        <v>45821</v>
      </c>
      <c r="E28">
        <f ca="1"/>
        <v>75</v>
      </c>
      <c r="F28">
        <f ca="1"/>
        <v>1895</v>
      </c>
      <c r="G28" t="str">
        <f ca="1"/>
        <v>YES</v>
      </c>
      <c r="K28">
        <v>71</v>
      </c>
      <c r="L28">
        <v>45</v>
      </c>
      <c r="M28" s="3">
        <v>45826</v>
      </c>
      <c r="N28">
        <v>45</v>
      </c>
      <c r="O28" s="4">
        <v>375</v>
      </c>
      <c r="P28" t="s">
        <v>228</v>
      </c>
    </row>
    <row r="29" spans="2:16" x14ac:dyDescent="0.3">
      <c r="B29">
        <f ca="1"/>
        <v>40</v>
      </c>
      <c r="C29">
        <f ca="1"/>
        <v>3</v>
      </c>
      <c r="D29" s="5">
        <f ca="1"/>
        <v>45827</v>
      </c>
      <c r="E29">
        <f ca="1"/>
        <v>60</v>
      </c>
      <c r="F29">
        <f ca="1"/>
        <v>620</v>
      </c>
      <c r="G29" t="str">
        <f ca="1"/>
        <v>YES</v>
      </c>
      <c r="K29">
        <v>71</v>
      </c>
      <c r="L29">
        <v>26</v>
      </c>
      <c r="M29" s="3">
        <v>45825</v>
      </c>
      <c r="N29">
        <v>120</v>
      </c>
      <c r="O29" s="4">
        <v>1260</v>
      </c>
      <c r="P29" t="s">
        <v>228</v>
      </c>
    </row>
    <row r="30" spans="2:16" x14ac:dyDescent="0.3">
      <c r="B30">
        <f ca="1"/>
        <v>1</v>
      </c>
      <c r="C30">
        <f ca="1"/>
        <v>13</v>
      </c>
      <c r="D30" s="5">
        <f ca="1"/>
        <v>45827</v>
      </c>
      <c r="E30">
        <f ca="1"/>
        <v>90</v>
      </c>
      <c r="F30">
        <f ca="1"/>
        <v>2840</v>
      </c>
      <c r="G30" t="str">
        <f ca="1"/>
        <v>YES</v>
      </c>
      <c r="K30">
        <v>72</v>
      </c>
      <c r="L30">
        <v>27</v>
      </c>
      <c r="M30" s="3">
        <v>45823</v>
      </c>
      <c r="N30">
        <v>45</v>
      </c>
      <c r="O30" s="4">
        <v>1010</v>
      </c>
      <c r="P30" t="s">
        <v>229</v>
      </c>
    </row>
    <row r="31" spans="2:16" x14ac:dyDescent="0.3">
      <c r="B31">
        <f ca="1"/>
        <v>13</v>
      </c>
      <c r="C31">
        <f ca="1"/>
        <v>4</v>
      </c>
      <c r="D31" s="5">
        <f ca="1"/>
        <v>45837</v>
      </c>
      <c r="E31">
        <f ca="1"/>
        <v>165</v>
      </c>
      <c r="F31">
        <f ca="1"/>
        <v>1270</v>
      </c>
      <c r="G31" t="str">
        <f ca="1"/>
        <v>YES</v>
      </c>
      <c r="K31">
        <v>75</v>
      </c>
      <c r="L31">
        <v>37</v>
      </c>
      <c r="M31" s="3">
        <v>45833</v>
      </c>
      <c r="N31">
        <v>135</v>
      </c>
      <c r="O31" s="4">
        <v>1280</v>
      </c>
      <c r="P31" t="s">
        <v>228</v>
      </c>
    </row>
    <row r="32" spans="2:16" x14ac:dyDescent="0.3">
      <c r="B32">
        <f ca="1"/>
        <v>13</v>
      </c>
      <c r="C32">
        <f ca="1"/>
        <v>21</v>
      </c>
      <c r="D32" s="5">
        <f ca="1"/>
        <v>45832</v>
      </c>
      <c r="E32">
        <f ca="1"/>
        <v>75</v>
      </c>
      <c r="F32">
        <f ca="1"/>
        <v>500</v>
      </c>
      <c r="G32" t="str">
        <f ca="1"/>
        <v>YES</v>
      </c>
      <c r="K32">
        <v>75</v>
      </c>
      <c r="L32">
        <v>37</v>
      </c>
      <c r="M32" s="3">
        <v>45812</v>
      </c>
      <c r="N32">
        <v>75</v>
      </c>
      <c r="O32" s="4">
        <v>1780</v>
      </c>
      <c r="P32" t="s">
        <v>229</v>
      </c>
    </row>
    <row r="33" spans="2:16" x14ac:dyDescent="0.3">
      <c r="B33">
        <f ca="1"/>
        <v>39</v>
      </c>
      <c r="C33">
        <f ca="1"/>
        <v>12</v>
      </c>
      <c r="D33" s="5">
        <f ca="1"/>
        <v>45831</v>
      </c>
      <c r="E33">
        <f ca="1"/>
        <v>15</v>
      </c>
      <c r="F33">
        <f ca="1"/>
        <v>355</v>
      </c>
      <c r="G33" t="str">
        <f ca="1"/>
        <v>YES</v>
      </c>
      <c r="K33">
        <v>76</v>
      </c>
      <c r="L33">
        <v>44</v>
      </c>
      <c r="M33" s="3">
        <v>45822</v>
      </c>
      <c r="N33">
        <v>75</v>
      </c>
      <c r="O33" s="4">
        <v>1890</v>
      </c>
      <c r="P33" t="s">
        <v>228</v>
      </c>
    </row>
    <row r="34" spans="2:16" x14ac:dyDescent="0.3">
      <c r="B34">
        <f ca="1"/>
        <v>34</v>
      </c>
      <c r="C34">
        <f ca="1"/>
        <v>11</v>
      </c>
      <c r="D34" s="5">
        <f ca="1"/>
        <v>45815</v>
      </c>
      <c r="E34">
        <f ca="1"/>
        <v>75</v>
      </c>
      <c r="F34">
        <f ca="1"/>
        <v>3070</v>
      </c>
      <c r="G34" t="str">
        <f ca="1"/>
        <v>NO</v>
      </c>
      <c r="K34">
        <v>77</v>
      </c>
      <c r="L34">
        <v>39</v>
      </c>
      <c r="M34" s="3">
        <v>45826</v>
      </c>
      <c r="N34">
        <v>45</v>
      </c>
      <c r="O34" s="4">
        <v>1445</v>
      </c>
      <c r="P34" t="s">
        <v>228</v>
      </c>
    </row>
    <row r="35" spans="2:16" x14ac:dyDescent="0.3">
      <c r="B35">
        <f ca="1"/>
        <v>29</v>
      </c>
      <c r="C35">
        <f ca="1"/>
        <v>5</v>
      </c>
      <c r="D35" s="5">
        <f ca="1"/>
        <v>45837</v>
      </c>
      <c r="E35">
        <f ca="1"/>
        <v>30</v>
      </c>
      <c r="F35">
        <f ca="1"/>
        <v>345</v>
      </c>
      <c r="G35" t="str">
        <f ca="1"/>
        <v>NO</v>
      </c>
      <c r="K35">
        <v>77</v>
      </c>
      <c r="L35">
        <v>28</v>
      </c>
      <c r="M35" s="3">
        <v>45812</v>
      </c>
      <c r="N35">
        <v>45</v>
      </c>
      <c r="O35" s="4">
        <v>695</v>
      </c>
      <c r="P35" t="s">
        <v>228</v>
      </c>
    </row>
    <row r="36" spans="2:16" x14ac:dyDescent="0.3">
      <c r="B36">
        <f ca="1"/>
        <v>20</v>
      </c>
      <c r="C36">
        <f ca="1"/>
        <v>9</v>
      </c>
      <c r="D36" s="5">
        <f ca="1"/>
        <v>45827</v>
      </c>
      <c r="E36">
        <f ca="1"/>
        <v>45</v>
      </c>
      <c r="F36">
        <f ca="1"/>
        <v>830</v>
      </c>
      <c r="G36" t="str">
        <f ca="1"/>
        <v>YES</v>
      </c>
      <c r="K36">
        <v>78</v>
      </c>
      <c r="L36">
        <v>40</v>
      </c>
      <c r="M36" s="3">
        <v>45816</v>
      </c>
      <c r="N36">
        <v>15</v>
      </c>
      <c r="O36" s="4">
        <v>370</v>
      </c>
      <c r="P36" t="s">
        <v>229</v>
      </c>
    </row>
    <row r="37" spans="2:16" x14ac:dyDescent="0.3">
      <c r="B37">
        <f ca="1"/>
        <v>19</v>
      </c>
      <c r="C37">
        <f ca="1"/>
        <v>13</v>
      </c>
      <c r="D37" s="5">
        <f ca="1"/>
        <v>45820</v>
      </c>
      <c r="E37">
        <f ca="1"/>
        <v>45</v>
      </c>
      <c r="F37">
        <f ca="1"/>
        <v>2365</v>
      </c>
      <c r="G37" t="str">
        <f ca="1"/>
        <v>YES</v>
      </c>
      <c r="K37">
        <v>78</v>
      </c>
      <c r="L37">
        <v>27</v>
      </c>
      <c r="M37" s="3">
        <v>45822</v>
      </c>
      <c r="N37">
        <v>120</v>
      </c>
      <c r="O37" s="4">
        <v>2695</v>
      </c>
      <c r="P37" t="s">
        <v>229</v>
      </c>
    </row>
    <row r="38" spans="2:16" x14ac:dyDescent="0.3">
      <c r="B38">
        <f ca="1"/>
        <v>34</v>
      </c>
      <c r="C38">
        <f ca="1"/>
        <v>12</v>
      </c>
      <c r="D38" s="5">
        <f ca="1"/>
        <v>45837</v>
      </c>
      <c r="E38">
        <f ca="1"/>
        <v>75</v>
      </c>
      <c r="F38">
        <f ca="1"/>
        <v>710</v>
      </c>
      <c r="G38" t="str">
        <f ca="1"/>
        <v>NO</v>
      </c>
      <c r="K38">
        <v>81</v>
      </c>
      <c r="L38">
        <v>43</v>
      </c>
      <c r="M38" s="3">
        <v>45812</v>
      </c>
      <c r="N38">
        <v>45</v>
      </c>
      <c r="O38" s="4">
        <v>1225</v>
      </c>
      <c r="P38" t="s">
        <v>228</v>
      </c>
    </row>
    <row r="39" spans="2:16" x14ac:dyDescent="0.3">
      <c r="B39">
        <f ca="1"/>
        <v>31</v>
      </c>
      <c r="C39">
        <f ca="1"/>
        <v>10</v>
      </c>
      <c r="D39" s="5">
        <f ca="1"/>
        <v>45835</v>
      </c>
      <c r="E39">
        <f ca="1"/>
        <v>135</v>
      </c>
      <c r="F39">
        <f ca="1"/>
        <v>4440</v>
      </c>
      <c r="G39" t="str">
        <f ca="1"/>
        <v>NO</v>
      </c>
      <c r="K39">
        <v>82</v>
      </c>
      <c r="L39">
        <v>41</v>
      </c>
      <c r="M39" s="3">
        <v>45825</v>
      </c>
      <c r="N39">
        <v>90</v>
      </c>
      <c r="O39" s="4">
        <v>2585</v>
      </c>
      <c r="P39" t="s">
        <v>228</v>
      </c>
    </row>
    <row r="40" spans="2:16" x14ac:dyDescent="0.3">
      <c r="B40">
        <f ca="1"/>
        <v>29</v>
      </c>
      <c r="C40">
        <f ca="1"/>
        <v>6</v>
      </c>
      <c r="D40" s="5">
        <f ca="1"/>
        <v>45826</v>
      </c>
      <c r="E40">
        <f ca="1"/>
        <v>15</v>
      </c>
      <c r="F40">
        <f ca="1"/>
        <v>475</v>
      </c>
      <c r="G40" t="str">
        <f ca="1"/>
        <v>YES</v>
      </c>
      <c r="K40">
        <v>82</v>
      </c>
      <c r="L40">
        <v>36</v>
      </c>
      <c r="M40" s="3">
        <v>45822</v>
      </c>
      <c r="N40">
        <v>60</v>
      </c>
      <c r="O40" s="4">
        <v>3070</v>
      </c>
      <c r="P40" t="s">
        <v>229</v>
      </c>
    </row>
    <row r="41" spans="2:16" x14ac:dyDescent="0.3">
      <c r="B41">
        <f ca="1"/>
        <v>20</v>
      </c>
      <c r="C41">
        <f ca="1"/>
        <v>1</v>
      </c>
      <c r="D41" s="5">
        <f ca="1"/>
        <v>45822</v>
      </c>
      <c r="E41">
        <f ca="1"/>
        <v>30</v>
      </c>
      <c r="F41">
        <f ca="1"/>
        <v>315</v>
      </c>
      <c r="G41" t="str">
        <f ca="1"/>
        <v>YES</v>
      </c>
      <c r="K41">
        <v>83</v>
      </c>
      <c r="L41">
        <v>33</v>
      </c>
      <c r="M41" s="3">
        <v>45816</v>
      </c>
      <c r="N41">
        <v>120</v>
      </c>
      <c r="O41" s="4">
        <v>2785</v>
      </c>
      <c r="P41" t="s">
        <v>229</v>
      </c>
    </row>
    <row r="42" spans="2:16" x14ac:dyDescent="0.3">
      <c r="B42">
        <f ca="1"/>
        <v>36</v>
      </c>
      <c r="C42">
        <f ca="1"/>
        <v>12</v>
      </c>
      <c r="D42" s="5">
        <f ca="1"/>
        <v>45811</v>
      </c>
      <c r="E42">
        <f ca="1"/>
        <v>105</v>
      </c>
      <c r="F42">
        <f ca="1"/>
        <v>2490</v>
      </c>
      <c r="G42" t="str">
        <f ca="1"/>
        <v>YES</v>
      </c>
      <c r="K42">
        <v>83</v>
      </c>
      <c r="L42">
        <v>29</v>
      </c>
      <c r="M42" s="3">
        <v>45835</v>
      </c>
      <c r="N42">
        <v>30</v>
      </c>
      <c r="O42" s="4">
        <v>460</v>
      </c>
      <c r="P42" t="s">
        <v>229</v>
      </c>
    </row>
    <row r="43" spans="2:16" x14ac:dyDescent="0.3">
      <c r="B43">
        <f ca="1"/>
        <v>27</v>
      </c>
      <c r="C43">
        <f ca="1"/>
        <v>13</v>
      </c>
      <c r="D43" s="5">
        <f ca="1"/>
        <v>45813</v>
      </c>
      <c r="E43">
        <f ca="1"/>
        <v>150</v>
      </c>
      <c r="F43">
        <f ca="1"/>
        <v>7885</v>
      </c>
      <c r="G43" t="str">
        <f ca="1"/>
        <v>YES</v>
      </c>
      <c r="K43">
        <v>84</v>
      </c>
      <c r="L43">
        <v>41</v>
      </c>
      <c r="M43" s="3">
        <v>45824</v>
      </c>
      <c r="N43">
        <v>150</v>
      </c>
      <c r="O43" s="4">
        <v>5740</v>
      </c>
      <c r="P43" t="s">
        <v>228</v>
      </c>
    </row>
    <row r="44" spans="2:16" x14ac:dyDescent="0.3">
      <c r="B44">
        <f ca="1"/>
        <v>6</v>
      </c>
      <c r="C44">
        <f ca="1"/>
        <v>16</v>
      </c>
      <c r="D44" s="5">
        <f ca="1"/>
        <v>45838</v>
      </c>
      <c r="E44">
        <f ca="1"/>
        <v>15</v>
      </c>
      <c r="F44">
        <f ca="1"/>
        <v>575</v>
      </c>
      <c r="G44" t="str">
        <f ca="1"/>
        <v>YES</v>
      </c>
      <c r="K44">
        <v>84</v>
      </c>
      <c r="L44">
        <v>28</v>
      </c>
      <c r="M44" s="3">
        <v>45814</v>
      </c>
      <c r="N44">
        <v>45</v>
      </c>
      <c r="O44" s="4">
        <v>925</v>
      </c>
      <c r="P44" t="s">
        <v>228</v>
      </c>
    </row>
    <row r="45" spans="2:16" x14ac:dyDescent="0.3">
      <c r="B45">
        <f ca="1"/>
        <v>25</v>
      </c>
      <c r="C45">
        <f ca="1"/>
        <v>3</v>
      </c>
      <c r="D45" s="5">
        <f ca="1"/>
        <v>45830</v>
      </c>
      <c r="E45">
        <f ca="1"/>
        <v>60</v>
      </c>
      <c r="F45">
        <f ca="1"/>
        <v>1545</v>
      </c>
      <c r="G45" t="str">
        <f ca="1"/>
        <v>YES</v>
      </c>
      <c r="K45">
        <v>85</v>
      </c>
      <c r="L45">
        <v>46</v>
      </c>
      <c r="M45" s="3">
        <v>45811</v>
      </c>
      <c r="N45">
        <v>90</v>
      </c>
      <c r="O45" s="4">
        <v>895</v>
      </c>
      <c r="P45" t="s">
        <v>228</v>
      </c>
    </row>
    <row r="46" spans="2:16" x14ac:dyDescent="0.3">
      <c r="B46">
        <f ca="1"/>
        <v>4</v>
      </c>
      <c r="C46">
        <f ca="1"/>
        <v>22</v>
      </c>
      <c r="D46" s="5">
        <f ca="1"/>
        <v>45824</v>
      </c>
      <c r="E46">
        <f ca="1"/>
        <v>90</v>
      </c>
      <c r="F46">
        <f ca="1"/>
        <v>715</v>
      </c>
      <c r="G46" t="str">
        <f ca="1"/>
        <v>YES</v>
      </c>
      <c r="K46">
        <v>85</v>
      </c>
      <c r="L46">
        <v>28</v>
      </c>
      <c r="M46" s="3">
        <v>45811</v>
      </c>
      <c r="N46">
        <v>60</v>
      </c>
      <c r="O46" s="4">
        <v>620</v>
      </c>
      <c r="P46" t="s">
        <v>228</v>
      </c>
    </row>
    <row r="47" spans="2:16" x14ac:dyDescent="0.3">
      <c r="B47">
        <f ca="1"/>
        <v>11</v>
      </c>
      <c r="C47">
        <f ca="1"/>
        <v>10</v>
      </c>
      <c r="D47" s="5">
        <f ca="1"/>
        <v>45815</v>
      </c>
      <c r="E47">
        <f ca="1"/>
        <v>45</v>
      </c>
      <c r="F47">
        <f ca="1"/>
        <v>1110</v>
      </c>
      <c r="G47" t="str">
        <f ca="1"/>
        <v>YES</v>
      </c>
      <c r="K47">
        <v>87</v>
      </c>
      <c r="L47">
        <v>43</v>
      </c>
      <c r="M47" s="3">
        <v>45809</v>
      </c>
      <c r="N47">
        <v>60</v>
      </c>
      <c r="O47" s="4">
        <v>1225</v>
      </c>
      <c r="P47" t="s">
        <v>228</v>
      </c>
    </row>
    <row r="48" spans="2:16" x14ac:dyDescent="0.3">
      <c r="B48">
        <f ca="1"/>
        <v>3</v>
      </c>
      <c r="C48">
        <f ca="1"/>
        <v>13</v>
      </c>
      <c r="D48" s="5">
        <f ca="1"/>
        <v>45828</v>
      </c>
      <c r="E48">
        <f ca="1"/>
        <v>45</v>
      </c>
      <c r="F48">
        <f ca="1"/>
        <v>1420</v>
      </c>
      <c r="G48" t="str">
        <f ca="1"/>
        <v>YES</v>
      </c>
      <c r="K48">
        <v>87</v>
      </c>
      <c r="L48">
        <v>35</v>
      </c>
      <c r="M48" s="3">
        <v>45817</v>
      </c>
      <c r="N48">
        <v>105</v>
      </c>
      <c r="O48" s="4">
        <v>4315</v>
      </c>
      <c r="P48" t="s">
        <v>229</v>
      </c>
    </row>
    <row r="49" spans="2:16" x14ac:dyDescent="0.3">
      <c r="B49">
        <f ca="1"/>
        <v>38</v>
      </c>
      <c r="C49">
        <f ca="1"/>
        <v>16</v>
      </c>
      <c r="D49" s="5">
        <f ca="1"/>
        <v>45824</v>
      </c>
      <c r="E49">
        <f ca="1"/>
        <v>30</v>
      </c>
      <c r="F49">
        <f ca="1"/>
        <v>1435</v>
      </c>
      <c r="G49" t="str">
        <f ca="1"/>
        <v>YES</v>
      </c>
      <c r="K49">
        <v>87</v>
      </c>
      <c r="L49">
        <v>38</v>
      </c>
      <c r="M49" s="3">
        <v>45835</v>
      </c>
      <c r="N49">
        <v>60</v>
      </c>
      <c r="O49" s="4">
        <v>3155</v>
      </c>
      <c r="P49" t="s">
        <v>228</v>
      </c>
    </row>
    <row r="50" spans="2:16" x14ac:dyDescent="0.3">
      <c r="B50">
        <f ca="1"/>
        <v>12</v>
      </c>
      <c r="C50">
        <f ca="1"/>
        <v>3</v>
      </c>
      <c r="D50" s="5">
        <f ca="1"/>
        <v>45831</v>
      </c>
      <c r="E50">
        <f ca="1"/>
        <v>90</v>
      </c>
      <c r="F50">
        <f ca="1"/>
        <v>2320</v>
      </c>
      <c r="G50" t="str">
        <f ca="1"/>
        <v>YES</v>
      </c>
      <c r="K50">
        <v>89</v>
      </c>
      <c r="L50">
        <v>30</v>
      </c>
      <c r="M50" s="3">
        <v>45821</v>
      </c>
      <c r="N50">
        <v>240</v>
      </c>
      <c r="O50" s="4">
        <v>4120</v>
      </c>
      <c r="P50" t="s">
        <v>228</v>
      </c>
    </row>
    <row r="51" spans="2:16" x14ac:dyDescent="0.3">
      <c r="B51">
        <f ca="1"/>
        <v>9</v>
      </c>
      <c r="C51">
        <f ca="1"/>
        <v>2</v>
      </c>
      <c r="D51" s="5">
        <f ca="1"/>
        <v>45812</v>
      </c>
      <c r="E51">
        <f ca="1"/>
        <v>75</v>
      </c>
      <c r="F51">
        <f ca="1"/>
        <v>1120</v>
      </c>
      <c r="G51" t="str">
        <f ca="1"/>
        <v>NO</v>
      </c>
      <c r="K51">
        <v>90</v>
      </c>
      <c r="L51">
        <v>28</v>
      </c>
      <c r="M51" s="3">
        <v>45820</v>
      </c>
      <c r="N51">
        <v>30</v>
      </c>
      <c r="O51" s="4">
        <v>775</v>
      </c>
      <c r="P51" t="s">
        <v>228</v>
      </c>
    </row>
    <row r="52" spans="2:16" x14ac:dyDescent="0.3">
      <c r="B52">
        <f ca="1"/>
        <v>14</v>
      </c>
      <c r="C52">
        <f ca="1"/>
        <v>5</v>
      </c>
      <c r="D52" s="5">
        <f ca="1"/>
        <v>45819</v>
      </c>
      <c r="E52">
        <f ca="1"/>
        <v>30</v>
      </c>
      <c r="F52">
        <f ca="1"/>
        <v>860</v>
      </c>
      <c r="G52" t="str">
        <f ca="1"/>
        <v>YES</v>
      </c>
      <c r="K52">
        <v>90</v>
      </c>
      <c r="L52">
        <v>35</v>
      </c>
      <c r="M52" s="3">
        <v>45832</v>
      </c>
      <c r="N52">
        <v>135</v>
      </c>
      <c r="O52" s="4">
        <v>2220</v>
      </c>
      <c r="P52" t="s">
        <v>228</v>
      </c>
    </row>
  </sheetData>
  <autoFilter ref="K2:P52" xr:uid="{4AFBD3BA-60FB-4466-AB06-E454B52BE4E3}">
    <sortState xmlns:xlrd2="http://schemas.microsoft.com/office/spreadsheetml/2017/richdata2" ref="K3:P52">
      <sortCondition ref="K2:K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Chandoo ORG</cp:lastModifiedBy>
  <dcterms:created xsi:type="dcterms:W3CDTF">2025-07-14T21:51:15Z</dcterms:created>
  <dcterms:modified xsi:type="dcterms:W3CDTF">2025-07-16T22:46:40Z</dcterms:modified>
</cp:coreProperties>
</file>